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3fdd3ca7b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Portada" sheetId="1" r:id="Rd3dbec9b0ae64404"/>
    <x:sheet xmlns:r="http://schemas.openxmlformats.org/officeDocument/2006/relationships" name="01_Supuestos" sheetId="2" r:id="R9954f9098cc14ec5"/>
    <x:sheet xmlns:r="http://schemas.openxmlformats.org/officeDocument/2006/relationships" name="02_Detalle_Ingresos" sheetId="3" r:id="Rb2e66b8d7f294f05"/>
    <x:sheet xmlns:r="http://schemas.openxmlformats.org/officeDocument/2006/relationships" name="03_Detalle_Personal" sheetId="4" r:id="R46aa61eb92c04a46"/>
    <x:sheet xmlns:r="http://schemas.openxmlformats.org/officeDocument/2006/relationships" name="04_OPEX_Operativo" sheetId="5" r:id="Re4ac7e901a834e37"/>
    <x:sheet xmlns:r="http://schemas.openxmlformats.org/officeDocument/2006/relationships" name="05_Detalle_OPEX" sheetId="6" r:id="Refe64bf4a59d426d"/>
    <x:sheet xmlns:r="http://schemas.openxmlformats.org/officeDocument/2006/relationships" name="06_Cuenta_Resultados" sheetId="7" r:id="R8c55dfff23e24dcf"/>
    <x:sheet xmlns:r="http://schemas.openxmlformats.org/officeDocument/2006/relationships" name="07_Caja_CAPEX_WC" sheetId="8" r:id="R8d9afed483864381"/>
    <x:sheet xmlns:r="http://schemas.openxmlformats.org/officeDocument/2006/relationships" name="08_Control" sheetId="9" r:id="Rda030fc86f564532"/>
    <x:sheet xmlns:r="http://schemas.openxmlformats.org/officeDocument/2006/relationships" name="09_Documentacion_Soporte" sheetId="10" r:id="R1a9fc43cf9434dd7"/>
    <x:sheet xmlns:r="http://schemas.openxmlformats.org/officeDocument/2006/relationships" name="10_Paquetes_Producto" sheetId="11" r:id="Re842a7f5d1714f93"/>
    <x:sheet xmlns:r="http://schemas.openxmlformats.org/officeDocument/2006/relationships" name="11_INV_Resumen_4_2M" sheetId="12" r:id="Re781a0bbc0c645ac"/>
    <x:sheet xmlns:r="http://schemas.openxmlformats.org/officeDocument/2006/relationships" name="12_INV_Familias" sheetId="13" r:id="R20809960b9f74c26"/>
    <x:sheet xmlns:r="http://schemas.openxmlformats.org/officeDocument/2006/relationships" name="13_300K_Resumen" sheetId="14" r:id="R10b23a4d83684be6"/>
    <x:sheet xmlns:r="http://schemas.openxmlformats.org/officeDocument/2006/relationships" name="14_300K_Uso_Fondos" sheetId="15" r:id="R7c0cbc8228064fe1"/>
    <x:sheet xmlns:r="http://schemas.openxmlformats.org/officeDocument/2006/relationships" name="15_300K_Pipeline_2027" sheetId="16" r:id="R676203c28b7f4f4d"/>
    <x:sheet xmlns:r="http://schemas.openxmlformats.org/officeDocument/2006/relationships" name="16_300K_Puente_Escala" sheetId="17" r:id="Rbbba3a3c42114d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#,##0;[Red](#,##0);-"/>
    <x:numFmt numFmtId="203" formatCode="@"/>
  </x:numFmts>
  <x:fonts count="9">
    <x:font>
      <x:sz val="11"/>
      <x:name val="Carlito"/>
    </x:font>
    <x:font>
      <x:sz val="10"/>
      <x:color rgb="FF26323F"/>
      <x:name val="Arial"/>
    </x:font>
    <x:font>
      <x:b/>
      <x:sz val="16"/>
      <x:color rgb="FFFFFFFF"/>
      <x:name val="Arial"/>
    </x:font>
    <x:font>
      <x:i/>
      <x:sz val="10"/>
      <x:color rgb="FF0B1F33"/>
      <x:name val="Arial"/>
    </x:font>
    <x:font>
      <x:b/>
      <x:sz val="10"/>
      <x:color rgb="FFFFFFFF"/>
      <x:name val="Arial"/>
    </x:font>
    <x:font>
      <x:b/>
      <x:sz val="10"/>
      <x:color rgb="FF0B1F33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0"/>
      <x:color rgb="FF26323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E9F6F1"/>
      </x:patternFill>
    </x:fill>
    <x:fill>
      <x:patternFill patternType="solid">
        <x:fgColor rgb="FF123C55"/>
      </x:patternFill>
    </x:fill>
    <x:fill>
      <x:patternFill patternType="solid">
        <x:fgColor rgb="FFFFF3DB"/>
      </x:patternFill>
    </x:fill>
  </x:fills>
  <x:borders count="32">
    <x:border/>
    <x:border>
      <x:right style="thin">
        <x:color rgb="FFD5DEE6"/>
      </x:right>
      <x:bottom style="thin">
        <x:color rgb="FFD5DEE6"/>
      </x:bottom>
    </x:border>
    <x:border>
      <x:left style="thin">
        <x:color rgb="FFD5DEE6"/>
      </x:left>
      <x:right style="thin">
        <x:color rgb="FFD5DEE6"/>
      </x:right>
      <x:bottom style="thin">
        <x:color rgb="FFD5DEE6"/>
      </x:bottom>
    </x:border>
    <x:border>
      <x:left style="thin">
        <x:color rgb="FFD5DEE6"/>
      </x:left>
      <x:bottom style="thin">
        <x:color rgb="FFD5DEE6"/>
      </x:bottom>
    </x:border>
    <x:border>
      <x:right style="thin">
        <x:color rgb="FFD5DEE6"/>
      </x:right>
      <x:top style="thin">
        <x:color rgb="FFD5DEE6"/>
      </x:top>
      <x:bottom style="thin">
        <x:color rgb="FFD5DEE6"/>
      </x:bottom>
    </x:border>
    <x:border>
      <x:left style="thin">
        <x:color rgb="FFD5DEE6"/>
      </x:left>
      <x:right style="thin">
        <x:color rgb="FFD5DEE6"/>
      </x:right>
      <x:top style="thin">
        <x:color rgb="FFD5DEE6"/>
      </x:top>
      <x:bottom style="thin">
        <x:color rgb="FFD5DEE6"/>
      </x:bottom>
    </x:border>
    <x:border>
      <x:left style="thin">
        <x:color rgb="FFD5DEE6"/>
      </x:left>
      <x:top style="thin">
        <x:color rgb="FFD5DEE6"/>
      </x:top>
      <x:bottom style="thin">
        <x:color rgb="FFD5DEE6"/>
      </x:bottom>
    </x:border>
    <x:border>
      <x:right style="thin">
        <x:color rgb="FFD5DEE6"/>
      </x:right>
      <x:top style="thin">
        <x:color rgb="FFD5DEE6"/>
      </x:top>
    </x:border>
    <x:border>
      <x:left style="thin">
        <x:color rgb="FFD5DEE6"/>
      </x:left>
      <x:right style="thin">
        <x:color rgb="FFD5DEE6"/>
      </x:right>
      <x:top style="thin">
        <x:color rgb="FFD5DEE6"/>
      </x:top>
    </x:border>
    <x:border>
      <x:left style="thin">
        <x:color rgb="FFD5DEE6"/>
      </x:left>
      <x:top style="thin">
        <x:color rgb="FFD5DEE6"/>
      </x:top>
    </x:border>
    <x:border>
      <x:left style="thin">
        <x:color rgb="FF159A76"/>
      </x:left>
      <x:right style="thin">
        <x:color rgb="FFD5DEE6"/>
      </x:right>
      <x:top style="thin">
        <x:color rgb="FF159A76"/>
      </x:top>
      <x:bottom style="thin">
        <x:color rgb="FFD5DEE6"/>
      </x:bottom>
    </x:border>
    <x:border>
      <x:left style="thin">
        <x:color rgb="FFD5DEE6"/>
      </x:left>
      <x:right style="thin">
        <x:color rgb="FFD5DEE6"/>
      </x:right>
      <x:top style="thin">
        <x:color rgb="FF159A76"/>
      </x:top>
      <x:bottom style="thin">
        <x:color rgb="FFD5DEE6"/>
      </x:bottom>
    </x:border>
    <x:border>
      <x:left style="thin">
        <x:color rgb="FFD5DEE6"/>
      </x:left>
      <x:right style="thin">
        <x:color rgb="FF159A76"/>
      </x:right>
      <x:top style="thin">
        <x:color rgb="FF159A76"/>
      </x:top>
      <x:bottom style="thin">
        <x:color rgb="FFD5DEE6"/>
      </x:bottom>
    </x:border>
    <x:border>
      <x:left style="thin">
        <x:color rgb="FF159A76"/>
      </x:left>
      <x:right style="thin">
        <x:color rgb="FFD5DEE6"/>
      </x:right>
      <x:top style="thin">
        <x:color rgb="FFD5DEE6"/>
      </x:top>
      <x:bottom style="thin">
        <x:color rgb="FFD5DEE6"/>
      </x:bottom>
    </x:border>
    <x:border>
      <x:left style="thin">
        <x:color rgb="FFD5DEE6"/>
      </x:left>
      <x:right style="thin">
        <x:color rgb="FF159A76"/>
      </x:right>
      <x:top style="thin">
        <x:color rgb="FFD5DEE6"/>
      </x:top>
      <x:bottom style="thin">
        <x:color rgb="FFD5DEE6"/>
      </x:bottom>
    </x:border>
    <x:border>
      <x:left style="thin">
        <x:color rgb="FF159A76"/>
      </x:left>
      <x:right style="thin">
        <x:color rgb="FFD5DEE6"/>
      </x:right>
      <x:top style="thin">
        <x:color rgb="FFD5DEE6"/>
      </x:top>
      <x:bottom style="thin">
        <x:color rgb="FF159A76"/>
      </x:bottom>
    </x:border>
    <x:border>
      <x:left style="thin">
        <x:color rgb="FFD5DEE6"/>
      </x:left>
      <x:right style="thin">
        <x:color rgb="FFD5DEE6"/>
      </x:right>
      <x:top style="thin">
        <x:color rgb="FFD5DEE6"/>
      </x:top>
      <x:bottom style="thin">
        <x:color rgb="FF159A76"/>
      </x:bottom>
    </x:border>
    <x:border>
      <x:left style="thin">
        <x:color rgb="FFD5DEE6"/>
      </x:left>
      <x:right style="thin">
        <x:color rgb="FF159A76"/>
      </x:right>
      <x:top style="thin">
        <x:color rgb="FFD5DEE6"/>
      </x:top>
      <x:bottom style="thin">
        <x:color rgb="FF159A76"/>
      </x:bottom>
    </x:border>
    <x:border>
      <x:left style="thin">
        <x:color rgb="FF0B1F33"/>
      </x:left>
      <x:top style="thin">
        <x:color rgb="FF0B1F33"/>
      </x:top>
      <x:bottom style="thin">
        <x:color rgb="FF0B1F33"/>
      </x:bottom>
    </x:border>
    <x:border>
      <x:top style="thin">
        <x:color rgb="FF0B1F33"/>
      </x:top>
      <x:bottom style="thin">
        <x:color rgb="FF0B1F33"/>
      </x:bottom>
    </x:border>
    <x:border>
      <x:right style="thin">
        <x:color rgb="FF0B1F33"/>
      </x:right>
      <x:top style="thin">
        <x:color rgb="FF0B1F33"/>
      </x:top>
      <x:bottom style="thin">
        <x:color rgb="FF0B1F33"/>
      </x:bottom>
    </x:border>
    <x:border>
      <x:left style="thin">
        <x:color rgb="FF159A76"/>
      </x:left>
      <x:top style="thin">
        <x:color rgb="FF159A76"/>
      </x:top>
      <x:bottom style="thin">
        <x:color rgb="FF159A76"/>
      </x:bottom>
    </x:border>
    <x:border>
      <x:top style="thin">
        <x:color rgb="FF159A76"/>
      </x:top>
      <x:bottom style="thin">
        <x:color rgb="FF159A76"/>
      </x:bottom>
    </x:border>
    <x:border>
      <x:right style="thin">
        <x:color rgb="FF159A76"/>
      </x:right>
      <x:top style="thin">
        <x:color rgb="FF159A76"/>
      </x:top>
      <x:bottom style="thin">
        <x:color rgb="FF159A76"/>
      </x:bottom>
    </x:border>
    <x:border>
      <x:left style="thin">
        <x:color rgb="FF159A76"/>
      </x:left>
      <x:top style="thin">
        <x:color rgb="FF159A76"/>
      </x:top>
    </x:border>
    <x:border>
      <x:top style="thin">
        <x:color rgb="FF159A76"/>
      </x:top>
    </x:border>
    <x:border>
      <x:right style="thin">
        <x:color rgb="FF159A76"/>
      </x:right>
      <x:top style="thin">
        <x:color rgb="FF159A76"/>
      </x:top>
    </x:border>
    <x:border>
      <x:left style="thin">
        <x:color rgb="FF159A76"/>
      </x:left>
      <x:bottom style="thin">
        <x:color rgb="FF159A76"/>
      </x:bottom>
    </x:border>
    <x:border>
      <x:bottom style="thin">
        <x:color rgb="FF159A76"/>
      </x:bottom>
    </x:border>
    <x:border>
      <x:right style="thin">
        <x:color rgb="FF159A76"/>
      </x:right>
      <x:bottom style="thin">
        <x:color rgb="FF159A76"/>
      </x:bottom>
    </x:border>
    <x:border>
      <x:left style="thin">
        <x:color rgb="FF159A76"/>
      </x:left>
    </x:border>
    <x:border>
      <x:right style="thin">
        <x:color rgb="FF159A76"/>
      </x:right>
    </x:border>
  </x:borders>
  <x:cellStyleXfs count="1">
    <x:xf numFmtId="0" fontId="0" fillId="0" borderId="0"/>
  </x:cellStyleXfs>
  <x:cellXfs count="15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1" fillId="4" borderId="5" xfId="0" applyNumberFormat="1" applyFont="1" applyFill="1" applyBorder="1"/>
    <x:xf numFmtId="0" fontId="1" fillId="4" borderId="6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200" fontId="5" fillId="4" borderId="2" xfId="0" applyNumberFormat="1" applyFont="1" applyFill="1" applyBorder="1"/>
    <x:xf numFmtId="200" fontId="5" fillId="4" borderId="3" xfId="0" applyNumberFormat="1" applyFont="1" applyFill="1" applyBorder="1"/>
    <x:xf numFmtId="200" fontId="5" fillId="4" borderId="5" xfId="0" applyNumberFormat="1" applyFont="1" applyFill="1" applyBorder="1"/>
    <x:xf numFmtId="200" fontId="5" fillId="4" borderId="6" xfId="0" applyNumberFormat="1" applyFont="1" applyFill="1" applyBorder="1"/>
    <x:xf numFmtId="200" fontId="5" fillId="4" borderId="10" xfId="0" applyNumberFormat="1" applyFont="1" applyFill="1" applyBorder="1"/>
    <x:xf numFmtId="200" fontId="5" fillId="4" borderId="11" xfId="0" applyNumberFormat="1" applyFont="1" applyFill="1" applyBorder="1"/>
    <x:xf numFmtId="200" fontId="5" fillId="4" borderId="12" xfId="0" applyNumberFormat="1" applyFont="1" applyFill="1" applyBorder="1"/>
    <x:xf numFmtId="200" fontId="5" fillId="4" borderId="13" xfId="0" applyNumberFormat="1" applyFont="1" applyFill="1" applyBorder="1"/>
    <x:xf numFmtId="200" fontId="5" fillId="4" borderId="14" xfId="0" applyNumberFormat="1" applyFont="1" applyFill="1" applyBorder="1"/>
    <x:xf numFmtId="200" fontId="5" fillId="4" borderId="15" xfId="0" applyNumberFormat="1" applyFont="1" applyFill="1" applyBorder="1"/>
    <x:xf numFmtId="200" fontId="5" fillId="4" borderId="16" xfId="0" applyNumberFormat="1" applyFont="1" applyFill="1" applyBorder="1"/>
    <x:xf numFmtId="200" fontId="5" fillId="4" borderId="17" xfId="0" applyNumberFormat="1" applyFont="1" applyFill="1" applyBorder="1"/>
    <x:xf numFmtId="201" fontId="5" fillId="4" borderId="5" xfId="0" applyNumberFormat="1" applyFont="1" applyFill="1" applyBorder="1"/>
    <x:xf numFmtId="202" fontId="5" fillId="4" borderId="5" xfId="0" applyNumberFormat="1" applyFont="1" applyFill="1" applyBorder="1"/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2" borderId="18" xfId="0" applyNumberFormat="1" applyFont="1" applyFill="1" applyBorder="1"/>
    <x:xf numFmtId="0" fontId="4" fillId="2" borderId="19" xfId="0" applyNumberFormat="1" applyFont="1" applyFill="1" applyBorder="1"/>
    <x:xf numFmtId="0" fontId="4" fillId="2" borderId="20" xfId="0" applyNumberFormat="1" applyFont="1" applyFill="1" applyBorder="1"/>
    <x:xf numFmtId="203" fontId="4" fillId="2" borderId="19" xfId="0" applyNumberFormat="1" applyFont="1" applyFill="1" applyBorder="1"/>
    <x:xf numFmtId="201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0" fontId="5" fillId="4" borderId="0" xfId="0" applyNumberFormat="1" applyFont="1" applyFill="1" applyBorder="1"/>
    <x:xf numFmtId="200" fontId="5" fillId="4" borderId="21" xfId="0" applyNumberFormat="1" applyFont="1" applyFill="1" applyBorder="1"/>
    <x:xf numFmtId="200" fontId="5" fillId="4" borderId="22" xfId="0" applyNumberFormat="1" applyFont="1" applyFill="1" applyBorder="1"/>
    <x:xf numFmtId="200" fontId="5" fillId="4" borderId="23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0" fontId="7" fillId="4" borderId="0" xfId="0" applyNumberFormat="1" applyFont="1" applyFill="1" applyBorder="1"/>
    <x:xf numFmtId="200" fontId="1" fillId="0" borderId="0" xfId="0" applyNumberFormat="1" applyFont="1" applyFill="1" applyBorder="1"/>
    <x:xf numFmtId="200" fontId="1" fillId="4" borderId="0" xfId="0" applyNumberFormat="1" applyFont="1" applyFill="1" applyBorder="1"/>
    <x:xf numFmtId="201" fontId="1" fillId="0" borderId="0" xfId="0" applyNumberFormat="1" applyFont="1" applyFill="1" applyBorder="1"/>
    <x:xf numFmtId="200" fontId="5" fillId="4" borderId="24" xfId="0" applyNumberFormat="1" applyFont="1" applyFill="1" applyBorder="1"/>
    <x:xf numFmtId="200" fontId="5" fillId="4" borderId="25" xfId="0" applyNumberFormat="1" applyFont="1" applyFill="1" applyBorder="1"/>
    <x:xf numFmtId="200" fontId="5" fillId="4" borderId="26" xfId="0" applyNumberFormat="1" applyFont="1" applyFill="1" applyBorder="1"/>
    <x:xf numFmtId="200" fontId="5" fillId="4" borderId="27" xfId="0" applyNumberFormat="1" applyFont="1" applyFill="1" applyBorder="1"/>
    <x:xf numFmtId="200" fontId="5" fillId="4" borderId="28" xfId="0" applyNumberFormat="1" applyFont="1" applyFill="1" applyBorder="1"/>
    <x:xf numFmtId="200" fontId="5" fillId="4" borderId="29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4" borderId="0" xfId="0" applyNumberFormat="1" applyFont="1" applyFill="1" applyBorder="1"/>
    <x:xf numFmtId="200" fontId="5" fillId="4" borderId="30" xfId="0" applyNumberFormat="1" applyFont="1" applyFill="1" applyBorder="1"/>
    <x:xf numFmtId="200" fontId="5" fillId="4" borderId="31" xfId="0" applyNumberFormat="1" applyFont="1" applyFill="1" applyBorder="1"/>
    <x:xf numFmtId="200" fontId="5" fillId="4" borderId="24" xfId="0" applyNumberFormat="1" applyFont="1" applyFill="1" applyBorder="1" applyAlignment="1">
      <x:alignment wrapText="1"/>
    </x:xf>
    <x:xf numFmtId="200" fontId="5" fillId="4" borderId="25" xfId="0" applyNumberFormat="1" applyFont="1" applyFill="1" applyBorder="1" applyAlignment="1">
      <x:alignment wrapText="1"/>
    </x:xf>
    <x:xf numFmtId="200" fontId="5" fillId="4" borderId="26" xfId="0" applyNumberFormat="1" applyFont="1" applyFill="1" applyBorder="1" applyAlignment="1">
      <x:alignment wrapText="1"/>
    </x:xf>
    <x:xf numFmtId="200" fontId="5" fillId="4" borderId="30" xfId="0" applyNumberFormat="1" applyFont="1" applyFill="1" applyBorder="1" applyAlignment="1">
      <x:alignment wrapText="1"/>
    </x:xf>
    <x:xf numFmtId="200" fontId="5" fillId="4" borderId="0" xfId="0" applyNumberFormat="1" applyFont="1" applyFill="1" applyBorder="1" applyAlignment="1">
      <x:alignment wrapText="1"/>
    </x:xf>
    <x:xf numFmtId="200" fontId="5" fillId="4" borderId="31" xfId="0" applyNumberFormat="1" applyFont="1" applyFill="1" applyBorder="1" applyAlignment="1">
      <x:alignment wrapText="1"/>
    </x:xf>
    <x:xf numFmtId="200" fontId="5" fillId="4" borderId="27" xfId="0" applyNumberFormat="1" applyFont="1" applyFill="1" applyBorder="1" applyAlignment="1">
      <x:alignment wrapText="1"/>
    </x:xf>
    <x:xf numFmtId="200" fontId="5" fillId="4" borderId="28" xfId="0" applyNumberFormat="1" applyFont="1" applyFill="1" applyBorder="1" applyAlignment="1">
      <x:alignment wrapText="1"/>
    </x:xf>
    <x:xf numFmtId="200" fontId="5" fillId="4" borderId="29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18" xfId="0" applyNumberFormat="1" applyFont="1" applyFill="1" applyBorder="1" applyAlignment="1">
      <x:alignment wrapText="1"/>
    </x:xf>
    <x:xf numFmtId="0" fontId="4" fillId="2" borderId="19" xfId="0" applyNumberFormat="1" applyFont="1" applyFill="1" applyBorder="1" applyAlignment="1">
      <x:alignment wrapText="1"/>
    </x:xf>
    <x:xf numFmtId="0" fontId="4" fillId="2" borderId="2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0" fontId="1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200" fontId="5" fillId="4" borderId="21" xfId="0" applyNumberFormat="1" applyFont="1" applyFill="1" applyBorder="1" applyAlignment="1">
      <x:alignment wrapText="1"/>
    </x:xf>
    <x:xf numFmtId="200" fontId="5" fillId="4" borderId="22" xfId="0" applyNumberFormat="1" applyFont="1" applyFill="1" applyBorder="1" applyAlignment="1">
      <x:alignment wrapText="1"/>
    </x:xf>
    <x:xf numFmtId="200" fontId="5" fillId="4" borderId="23" xfId="0" applyNumberFormat="1" applyFont="1" applyFill="1" applyBorder="1" applyAlignment="1">
      <x:alignment wrapText="1"/>
    </x:xf>
    <x:xf numFmtId="201" fontId="1" fillId="4" borderId="0" xfId="0" applyNumberFormat="1" applyFont="1" applyFill="1" applyBorder="1"/>
    <x:xf numFmtId="201" fontId="5" fillId="4" borderId="0" xfId="0" applyNumberFormat="1" applyFont="1" applyFill="1" applyBorder="1"/>
    <x:xf numFmtId="201" fontId="1" fillId="0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4" fillId="2" borderId="4" xfId="0" applyNumberFormat="1" applyFont="1" applyFill="1" applyBorder="1"/>
    <x:xf numFmtId="0" fontId="4" fillId="2" borderId="5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2" fontId="1" fillId="0" borderId="5" xfId="0" applyNumberFormat="1" applyFont="1" applyFill="1" applyBorder="1"/>
    <x:xf numFmtId="200" fontId="6" fillId="0" borderId="5" xfId="0" applyNumberFormat="1" applyFont="1" applyFill="1" applyBorder="1"/>
    <x:xf numFmtId="203" fontId="4" fillId="2" borderId="5" xfId="0" applyNumberFormat="1" applyFont="1" applyFill="1" applyBorder="1"/>
    <x:xf numFmtId="201" fontId="6" fillId="0" borderId="5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4" fillId="2" borderId="6" xfId="0" applyNumberFormat="1" applyFont="1" applyFill="1" applyBorder="1"/>
    <x:xf numFmtId="200" fontId="5" fillId="4" borderId="4" xfId="0" applyNumberFormat="1" applyFont="1" applyFill="1" applyBorder="1"/>
    <x:xf numFmtId="200" fontId="7" fillId="0" borderId="5" xfId="0" applyNumberFormat="1" applyFont="1" applyFill="1" applyBorder="1"/>
    <x:xf numFmtId="0" fontId="2" fillId="2" borderId="3" xfId="0" applyNumberFormat="1" applyFont="1" applyFill="1" applyBorder="1"/>
    <x:xf numFmtId="200" fontId="1" fillId="0" borderId="5" xfId="0" applyNumberFormat="1" applyFont="1" applyFill="1" applyBorder="1"/>
    <x:xf numFmtId="200" fontId="1" fillId="0" borderId="6" xfId="0" applyNumberFormat="1" applyFont="1" applyFill="1" applyBorder="1"/>
    <x:xf numFmtId="201" fontId="1" fillId="0" borderId="5" xfId="0" applyNumberFormat="1" applyFont="1" applyFill="1" applyBorder="1"/>
    <x:xf numFmtId="201" fontId="7" fillId="0" borderId="5" xfId="0" applyNumberFormat="1" applyFont="1" applyFill="1" applyBorder="1"/>
    <x:xf numFmtId="0" fontId="8" fillId="0" borderId="5" xfId="0" applyNumberFormat="1" applyFont="1" applyFill="1" applyBorder="1"/>
    <x:xf numFmtId="200" fontId="5" fillId="4" borderId="4" xfId="0" applyNumberFormat="1" applyFont="1" applyFill="1" applyBorder="1" applyAlignment="1">
      <x:alignment wrapText="1"/>
    </x:xf>
    <x:xf numFmtId="200" fontId="5" fillId="4" borderId="5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wrapText="1"/>
    </x:xf>
    <x:xf numFmtId="0" fontId="4" fillId="2" borderId="5" xfId="0" applyNumberFormat="1" applyFont="1" applyFill="1" applyBorder="1" applyAlignment="1">
      <x:alignment wrapText="1"/>
    </x:xf>
    <x:xf numFmtId="0" fontId="4" fillId="2" borderId="6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wrapText="1"/>
    </x:xf>
    <x:xf numFmtId="200" fontId="5" fillId="4" borderId="6" xfId="0" applyNumberFormat="1" applyFont="1" applyFill="1" applyBorder="1" applyAlignment="1">
      <x:alignment wrapText="1"/>
    </x:xf>
    <x:xf numFmtId="201" fontId="1" fillId="0" borderId="5" xfId="0" applyNumberFormat="1" applyFont="1" applyFill="1" applyBorder="1" applyAlignment="1">
      <x:alignment wrapText="1"/>
    </x:xf>
    <x:xf numFmtId="202" fontId="1" fillId="0" borderId="5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91d0dca74e45fa" /><Relationship Type="http://schemas.openxmlformats.org/officeDocument/2006/relationships/theme" Target="/xl/theme/theme1.xml" Id="Rd2873435a70d49ee" /><Relationship Type="http://schemas.openxmlformats.org/officeDocument/2006/relationships/sharedStrings" Target="/xl/sharedStrings.xml" Id="R93bfe66d36704b3d" /><Relationship Type="http://schemas.openxmlformats.org/officeDocument/2006/relationships/worksheet" Target="/xl/worksheets/sheet1.xml" Id="Rd3dbec9b0ae64404" /><Relationship Type="http://schemas.openxmlformats.org/officeDocument/2006/relationships/worksheet" Target="/xl/worksheets/sheet2.xml" Id="R9954f9098cc14ec5" /><Relationship Type="http://schemas.openxmlformats.org/officeDocument/2006/relationships/worksheet" Target="/xl/worksheets/sheet3.xml" Id="Rb2e66b8d7f294f05" /><Relationship Type="http://schemas.openxmlformats.org/officeDocument/2006/relationships/worksheet" Target="/xl/worksheets/sheet4.xml" Id="R46aa61eb92c04a46" /><Relationship Type="http://schemas.openxmlformats.org/officeDocument/2006/relationships/worksheet" Target="/xl/worksheets/sheet5.xml" Id="Re4ac7e901a834e37" /><Relationship Type="http://schemas.openxmlformats.org/officeDocument/2006/relationships/worksheet" Target="/xl/worksheets/sheet6.xml" Id="Refe64bf4a59d426d" /><Relationship Type="http://schemas.openxmlformats.org/officeDocument/2006/relationships/worksheet" Target="/xl/worksheets/sheet7.xml" Id="R8c55dfff23e24dcf" /><Relationship Type="http://schemas.openxmlformats.org/officeDocument/2006/relationships/worksheet" Target="/xl/worksheets/sheet8.xml" Id="R8d9afed483864381" /><Relationship Type="http://schemas.openxmlformats.org/officeDocument/2006/relationships/worksheet" Target="/xl/worksheets/sheet9.xml" Id="Rda030fc86f564532" /><Relationship Type="http://schemas.openxmlformats.org/officeDocument/2006/relationships/worksheet" Target="/xl/worksheets/sheet10.xml" Id="R1a9fc43cf9434dd7" /><Relationship Type="http://schemas.openxmlformats.org/officeDocument/2006/relationships/worksheet" Target="/xl/worksheets/sheet11.xml" Id="Re842a7f5d1714f93" /><Relationship Type="http://schemas.openxmlformats.org/officeDocument/2006/relationships/worksheet" Target="/xl/worksheets/sheet12.xml" Id="Re781a0bbc0c645ac" /><Relationship Type="http://schemas.openxmlformats.org/officeDocument/2006/relationships/worksheet" Target="/xl/worksheets/sheet13.xml" Id="R20809960b9f74c26" /><Relationship Type="http://schemas.openxmlformats.org/officeDocument/2006/relationships/worksheet" Target="/xl/worksheets/sheet14.xml" Id="R10b23a4d83684be6" /><Relationship Type="http://schemas.openxmlformats.org/officeDocument/2006/relationships/worksheet" Target="/xl/worksheets/sheet15.xml" Id="R7c0cbc8228064fe1" /><Relationship Type="http://schemas.openxmlformats.org/officeDocument/2006/relationships/worksheet" Target="/xl/worksheets/sheet16.xml" Id="R676203c28b7f4f4d" /><Relationship Type="http://schemas.openxmlformats.org/officeDocument/2006/relationships/worksheet" Target="/xl/worksheets/sheet17.xml" Id="Rbbba3a3c42114d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14" hidden="0" customWidth="1"/>
    <x:col min="4" max="4" width="28" hidden="0" customWidth="1"/>
    <x:col min="5" max="5" width="18" hidden="0" customWidth="1"/>
    <x:col min="6" max="6" width="34" hidden="0" customWidth="1"/>
    <x:col min="7" max="7" width="34" hidden="0" customWidth="1"/>
    <x:col min="8" max="8" width="34" hidden="0" customWidth="1"/>
  </x:cols>
  <x:sheetData>
    <x:row r="1">
      <x:c r="A1" s="107" t="str">
        <x:v>CUEVA - Modelo financiero definitivo</x:v>
      </x:c>
      <x:c r="B1" s="108" t="str"/>
      <x:c r="C1" s="108" t="str"/>
      <x:c r="D1" s="108" t="str"/>
      <x:c r="E1" s="108" t="str"/>
      <x:c r="F1" s="109" t="str"/>
      <x:c r="G1" s="109" t="str"/>
      <x:c r="H1" s="110" t="str"/>
    </x:row>
    <x:row r="2">
      <x:c r="A2" s="111" t="str">
        <x:v>Motor 2030, inversion acumulada 4,2M y plan 26/27 de 300K en pestañas separadas.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Convencion</x:v>
      </x:c>
      <x:c r="B5" s="115" t="str">
        <x:v>Valor</x:v>
      </x:c>
      <x:c r="C5" s="115" t="str"/>
      <x:c r="D5" s="115" t="str">
        <x:v>Output clave</x:v>
      </x:c>
      <x:c r="E5" s="115" t="str">
        <x:v>Valor</x:v>
      </x:c>
      <x:c r="F5" s="115" t="str">
        <x:v>Notas</x:v>
      </x:c>
      <x:c r="G5" s="14"/>
      <x:c r="H5" s="15"/>
    </x:row>
    <x:row r="6">
      <x:c r="A6" s="13" t="str">
        <x:v>Documento</x:v>
      </x:c>
      <x:c r="B6" s="14" t="str">
        <x:v>Modelo financiero definitivo</x:v>
      </x:c>
      <x:c r="C6" s="14" t="str"/>
      <x:c r="D6" s="29" t="str">
        <x:v>Ingresos 2030</x:v>
      </x:c>
      <x:c r="E6" s="29" t="n">
        <x:f>'02_Detalle_Ingresos'!E42</x:f>
        <x:v>192.02824003333333</x:v>
      </x:c>
      <x:c r="F6" s="29" t="str">
        <x:v>Desde 02_Detalle_Ingresos</x:v>
      </x:c>
      <x:c r="G6" s="14"/>
      <x:c r="H6" s="15"/>
    </x:row>
    <x:row r="7">
      <x:c r="A7" s="13" t="str">
        <x:v>Fecha</x:v>
      </x:c>
      <x:c r="B7" s="14" t="str">
        <x:v>2026-07-16</x:v>
      </x:c>
      <x:c r="C7" s="14" t="str"/>
      <x:c r="D7" s="29" t="str">
        <x:v>EBITDA 2030</x:v>
      </x:c>
      <x:c r="E7" s="29" t="n">
        <x:f>'06_Cuenta_Resultados'!E22</x:f>
        <x:v>131.072736094</x:v>
      </x:c>
      <x:c r="F7" s="29" t="str">
        <x:v>Desde 06_Cuenta_Resultados</x:v>
      </x:c>
      <x:c r="G7" s="14"/>
      <x:c r="H7" s="15"/>
    </x:row>
    <x:row r="8">
      <x:c r="A8" s="13" t="str">
        <x:v>Moneda</x:v>
      </x:c>
      <x:c r="B8" s="14" t="str">
        <x:v>EUR M salvo indicacion</x:v>
      </x:c>
      <x:c r="C8" s="14" t="str"/>
      <x:c r="D8" s="29" t="str">
        <x:v>Resultado neto 2030</x:v>
      </x:c>
      <x:c r="E8" s="29" t="n">
        <x:f>'06_Cuenta_Resultados'!E29</x:f>
        <x:v>97.14205207049999</x:v>
      </x:c>
      <x:c r="F8" s="29" t="str">
        <x:v>Despues de amortizacion, financiero e impuestos</x:v>
      </x:c>
      <x:c r="G8" s="14"/>
      <x:c r="H8" s="15"/>
    </x:row>
    <x:row r="9">
      <x:c r="A9" s="13" t="str">
        <x:v>Eje temporal</x:v>
      </x:c>
      <x:c r="B9" s="14" t="str">
        <x:v>2026/27 + 2028-2030</x:v>
      </x:c>
      <x:c r="C9" s="14" t="str"/>
      <x:c r="D9" s="29" t="str">
        <x:v>Margen EBITDA 2030</x:v>
      </x:c>
      <x:c r="E9" s="39" t="n">
        <x:f>'06_Cuenta_Resultados'!E23</x:f>
        <x:v>0.6825701056847038</x:v>
      </x:c>
      <x:c r="F9" s="29" t="str">
        <x:v>EBITDA / ingresos</x:v>
      </x:c>
      <x:c r="G9" s="14"/>
      <x:c r="H9" s="15"/>
    </x:row>
    <x:row r="10">
      <x:c r="A10" s="13" t="str">
        <x:v>Escenario</x:v>
      </x:c>
      <x:c r="B10" s="14" t="str">
        <x:v>Management / Scale revisado</x:v>
      </x:c>
      <x:c r="C10" s="14" t="str"/>
      <x:c r="D10" s="29" t="str">
        <x:v>m2 objetivo acumulado</x:v>
      </x:c>
      <x:c r="E10" s="40" t="n">
        <x:f>'01_Supuestos'!B5</x:f>
        <x:v>6511000</x:v>
      </x:c>
      <x:c r="F10" s="29" t="str">
        <x:v>Curva base original ajustada por tramo 300k</x:v>
      </x:c>
      <x:c r="G10" s="14"/>
      <x:c r="H10" s="15"/>
    </x:row>
    <x:row r="11">
      <x:c r="A11" s="13" t="str">
        <x:v>Modelo</x:v>
      </x:c>
      <x:c r="B11" s="14" t="str">
        <x:v>Plan 2030 separado de inversion acumulada y plan 300K</x:v>
      </x:c>
      <x:c r="C11" s="14" t="str"/>
      <x:c r="D11" s="29" t="str">
        <x:v>Estado modelo</x:v>
      </x:c>
      <x:c r="E11" s="29" t="str">
        <x:f>'08_Control'!E16</x:f>
        <x:v>OK</x:v>
      </x:c>
      <x:c r="F11" s="29" t="str">
        <x:v>Desde 08_Control</x:v>
      </x:c>
      <x:c r="G11" s="14"/>
      <x:c r="H11" s="15"/>
    </x:row>
    <x:row r="12">
      <x:c r="A12" s="13" t="str"/>
      <x:c r="B12" s="14" t="str"/>
      <x:c r="C12" s="14" t="str"/>
      <x:c r="D12" s="29" t="str"/>
      <x:c r="E12" s="29" t="str"/>
      <x:c r="F12" s="29" t="str"/>
      <x:c r="G12" s="14"/>
      <x:c r="H12" s="15"/>
    </x:row>
    <x:row r="13">
      <x:c r="A13" s="13" t="str">
        <x:v>Lectura</x:v>
      </x:c>
      <x:c r="B13" s="14" t="str">
        <x:v>El tramo 2026/27 agrupa lanzamiento y validacion comercial; 2028-2030 escalan red, producto y recurrencia.</x:v>
      </x:c>
      <x:c r="C13" s="14" t="str"/>
      <x:c r="D13" s="14" t="str"/>
      <x:c r="E13" s="14" t="str"/>
      <x:c r="F13" s="14" t="str"/>
      <x:c r="G13" s="14"/>
      <x:c r="H13" s="15"/>
    </x:row>
    <x:row r="14">
      <x:c r="A14" s="13"/>
      <x:c r="B14" s="14"/>
      <x:c r="C14" s="14"/>
      <x:c r="D14" s="14"/>
      <x:c r="E14" s="14"/>
      <x:c r="F14" s="14"/>
      <x:c r="G14" s="14"/>
      <x:c r="H14" s="15"/>
    </x:row>
    <x:row r="15">
      <x:c r="A15" s="116" t="str">
        <x:v>Contenido del modelo definitivo</x:v>
      </x:c>
      <x:c r="B15" s="117" t="str"/>
      <x:c r="C15" s="117" t="str"/>
      <x:c r="D15" s="117" t="str"/>
      <x:c r="E15" s="117" t="str"/>
      <x:c r="F15" s="117" t="str"/>
      <x:c r="G15" s="117" t="str"/>
      <x:c r="H15" s="118" t="str"/>
    </x:row>
    <x:row r="16">
      <x:c r="A16" s="13" t="str">
        <x:v>1</x:v>
      </x:c>
      <x:c r="B16" s="14" t="str">
        <x:v>Hojas, etiquetas y navegacion en castellano.</x:v>
      </x:c>
      <x:c r="C16" s="14" t="str"/>
      <x:c r="D16" s="14" t="str"/>
      <x:c r="E16" s="14" t="str"/>
      <x:c r="F16" s="14" t="str"/>
      <x:c r="G16" s="14" t="str"/>
      <x:c r="H16" s="15" t="str"/>
    </x:row>
    <x:row r="17">
      <x:c r="A17" s="13" t="str">
        <x:v>2</x:v>
      </x:c>
      <x:c r="B17" s="14" t="str">
        <x:v>Cuenta de resultados completa: ingresos, margen bruto, OPEX, EBITDA, amortizacion, resultado financiero, impuestos y resultado neto.</x:v>
      </x:c>
      <x:c r="C17" s="14" t="str"/>
      <x:c r="D17" s="14" t="str"/>
      <x:c r="E17" s="14" t="str"/>
      <x:c r="F17" s="14" t="str"/>
      <x:c r="G17" s="14" t="str"/>
      <x:c r="H17" s="15" t="str"/>
    </x:row>
    <x:row r="18">
      <x:c r="A18" s="13" t="str">
        <x:v>3</x:v>
      </x:c>
      <x:c r="B18" s="14" t="str">
        <x:v>OPEX operativo desarrollado por driver: plataforma, IA/API, ciberseguridad, kits de campo, QA, soporte, GTM, legal, finanzas y reserva.</x:v>
      </x:c>
      <x:c r="C18" s="14" t="str"/>
      <x:c r="D18" s="14" t="str"/>
      <x:c r="E18" s="14" t="str"/>
      <x:c r="F18" s="14" t="str"/>
      <x:c r="G18" s="14" t="str"/>
      <x:c r="H18" s="15" t="str"/>
    </x:row>
    <x:row r="19">
      <x:c r="A19" s="13" t="str">
        <x:v>4</x:v>
      </x:c>
      <x:c r="B19" s="14" t="str">
        <x:v>Detalle de personal por departamento, perfil, sueldo medio y FTE.</x:v>
      </x:c>
      <x:c r="C19" s="14" t="str"/>
      <x:c r="D19" s="14" t="str"/>
      <x:c r="E19" s="14" t="str"/>
      <x:c r="F19" s="14" t="str"/>
      <x:c r="G19" s="14" t="str"/>
      <x:c r="H19" s="15" t="str"/>
    </x:row>
    <x:row r="20">
      <x:c r="A20" s="13" t="str">
        <x:v>5</x:v>
      </x:c>
      <x:c r="B20" s="14" t="str">
        <x:v>Detalle de ingresos por digitalizacion, fees de red, POI, DPP, recurrencia, datos, marketplace, iPath, Moolde, internacional y capa financiera.</x:v>
      </x:c>
      <x:c r="C20" s="14" t="str"/>
      <x:c r="D20" s="14" t="str"/>
      <x:c r="E20" s="14" t="str"/>
      <x:c r="F20" s="14" t="str"/>
      <x:c r="G20" s="14" t="str"/>
      <x:c r="H20" s="15" t="str"/>
    </x:row>
    <x:row r="21">
      <x:c r="A21" s="13" t="str">
        <x:v>6</x:v>
      </x:c>
      <x:c r="B21" s="14" t="str">
        <x:v>Controles de coherencia con estado OK/REVISAR/FALLO.</x:v>
      </x:c>
      <x:c r="C21" s="14" t="str"/>
      <x:c r="D21" s="14" t="str"/>
      <x:c r="E21" s="14" t="str"/>
      <x:c r="F21" s="14" t="str"/>
      <x:c r="G21" s="14" t="str"/>
      <x:c r="H21" s="15" t="str"/>
    </x:row>
    <x:row r="22">
      <x:c r="A22" s="13" t="str">
        <x:v>7</x:v>
      </x:c>
      <x:c r="B22" s="14" t="str">
        <x:v>Hoja de paquetes de producto para conectar producto, drivers economicos y entregables.</x:v>
      </x:c>
      <x:c r="C22" s="14" t="str"/>
      <x:c r="D22" s="14" t="str"/>
      <x:c r="E22" s="14" t="str"/>
      <x:c r="F22" s="14" t="str"/>
      <x:c r="G22" s="14" t="str"/>
      <x:c r="H22" s="15" t="str"/>
    </x:row>
    <x:row r="23">
      <x:c r="A23" s="13" t="str">
        <x:v>8</x:v>
      </x:c>
      <x:c r="B23" s="14" t="str">
        <x:v>Pestañas separadas para inversion acumulada 4,2M y plan 26/27 de 300K.</x:v>
      </x:c>
      <x:c r="C23" s="14" t="str"/>
      <x:c r="D23" s="14" t="str"/>
      <x:c r="E23" s="14" t="str"/>
      <x:c r="F23" s="14" t="str"/>
      <x:c r="G23" s="14" t="str"/>
      <x:c r="H23" s="15" t="str"/>
    </x:row>
    <x:row r="24">
      <x:c r="A24" s="13" t="str"/>
      <x:c r="B24" s="14" t="str"/>
      <x:c r="C24" s="14" t="str"/>
      <x:c r="D24" s="14" t="str"/>
      <x:c r="E24" s="14" t="str"/>
      <x:c r="F24" s="14" t="str"/>
      <x:c r="G24" s="14" t="str"/>
      <x:c r="H24" s="15" t="str"/>
    </x:row>
    <x:row r="25">
      <x:c r="A25" s="13" t="str">
        <x:v>Principio</x:v>
      </x:c>
      <x:c r="B25" s="14" t="str">
        <x:v>Todo lo azul es input editable; todo lo verde es formula o enlace interno.</x:v>
      </x:c>
      <x:c r="C25" s="14" t="str"/>
      <x:c r="D25" s="14" t="str"/>
      <x:c r="E25" s="14" t="str"/>
      <x:c r="F25" s="14" t="str"/>
      <x:c r="G25" s="14" t="str"/>
      <x:c r="H25" s="15" t="str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6"/>
      <x:c r="B52" s="17"/>
      <x:c r="C52" s="17"/>
      <x:c r="D52" s="17"/>
      <x:c r="E52" s="17"/>
      <x:c r="F52" s="17"/>
      <x:c r="G52" s="17"/>
      <x:c r="H52" s="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4" hidden="0" customWidth="1"/>
    <x:col min="7" max="7" width="38" hidden="0" customWidth="1"/>
    <x:col min="8" max="8" width="38" hidden="0" customWidth="1"/>
  </x:cols>
  <x:sheetData>
    <x:row r="1">
      <x:c r="A1" s="107" t="str">
        <x:v>01 Supuestos</x:v>
      </x:c>
      <x:c r="B1" s="108" t="str"/>
      <x:c r="C1" s="108" t="str"/>
      <x:c r="D1" s="108" t="str"/>
      <x:c r="E1" s="108" t="str"/>
      <x:c r="F1" s="109" t="str"/>
      <x:c r="G1" s="119"/>
      <x:c r="H1" s="120"/>
    </x:row>
    <x:row r="2">
      <x:c r="A2" s="111" t="str">
        <x:v>Inputs editables en azul. La curva base mantiene el crecimiento original; solo se redistribuye el sobrante del tramo 2026/27.</x:v>
      </x:c>
      <x:c r="B2" s="112" t="str"/>
      <x:c r="C2" s="112" t="str"/>
      <x:c r="D2" s="112" t="str"/>
      <x:c r="E2" s="112" t="str"/>
      <x:c r="F2" s="112" t="str"/>
      <x:c r="G2" s="121"/>
      <x:c r="H2" s="122"/>
    </x:row>
    <x:row r="3">
      <x:c r="A3" s="13" t="str"/>
      <x:c r="B3" s="14" t="str"/>
      <x:c r="C3" s="14" t="str"/>
      <x:c r="D3" s="14" t="str"/>
      <x:c r="E3" s="14" t="str"/>
      <x:c r="F3" s="14" t="str"/>
      <x:c r="G3" s="121"/>
      <x:c r="H3" s="122"/>
    </x:row>
    <x:row r="4">
      <x:c r="A4" s="116" t="str">
        <x:v>Control de m2 y escala</x:v>
      </x:c>
      <x:c r="B4" s="117" t="str"/>
      <x:c r="C4" s="117" t="str"/>
      <x:c r="D4" s="117" t="str"/>
      <x:c r="E4" s="117" t="str"/>
      <x:c r="F4" s="117" t="str"/>
      <x:c r="G4" s="121"/>
      <x:c r="H4" s="122"/>
    </x:row>
    <x:row r="5">
      <x:c r="A5" s="13" t="str">
        <x:v>Total m2 objetivo plan</x:v>
      </x:c>
      <x:c r="B5" s="123" t="n">
        <x:f>SUM(B7:E7)</x:f>
        <x:v>6511000</x:v>
      </x:c>
      <x:c r="C5" s="123" t="str"/>
      <x:c r="D5" s="123" t="str"/>
      <x:c r="E5" s="123" t="str"/>
      <x:c r="F5" s="14" t="str">
        <x:v>Total derivado de la curva base original. Si se modifica B7:E7 recalcula el total.</x:v>
      </x:c>
      <x:c r="G5" s="121"/>
      <x:c r="H5" s="122"/>
    </x:row>
    <x:row r="6">
      <x:c r="A6" s="13" t="str">
        <x:v>m2 tramo 2026/27</x:v>
      </x:c>
      <x:c r="B6" s="124" t="n">
        <x:v>300000</x:v>
      </x:c>
      <x:c r="C6" s="124" t="str"/>
      <x:c r="D6" s="124" t="str"/>
      <x:c r="E6" s="124" t="str"/>
      <x:c r="F6" s="14" t="str">
        <x:v>Input solicitado: 300k m2 en el tramo unificado 2026/27.</x:v>
      </x:c>
      <x:c r="G6" s="121"/>
      <x:c r="H6" s="122"/>
    </x:row>
    <x:row r="7">
      <x:c r="A7" s="13" t="str">
        <x:v>m2 base original antes de ajuste</x:v>
      </x:c>
      <x:c r="B7" s="124" t="n">
        <x:v>586000</x:v>
      </x:c>
      <x:c r="C7" s="124" t="n">
        <x:v>1065000</x:v>
      </x:c>
      <x:c r="D7" s="124" t="n">
        <x:v>1920000</x:v>
      </x:c>
      <x:c r="E7" s="124" t="n">
        <x:v>2940000</x:v>
      </x:c>
      <x:c r="F7" s="14" t="str">
        <x:v>Curva original: 2026+2027, 2028, 2029 y 2030. Mantiene crecimiento no lineal.</x:v>
      </x:c>
      <x:c r="G7" s="121"/>
      <x:c r="H7" s="122"/>
    </x:row>
    <x:row r="8">
      <x:c r="A8" s="13" t="str">
        <x:v>m2 emitidos</x:v>
      </x:c>
      <x:c r="B8" s="123" t="n">
        <x:f>$B$6</x:f>
        <x:v>300000</x:v>
      </x:c>
      <x:c r="C8" s="123" t="n">
        <x:f>C7+MAX(0,$B$7-$B$6)/3</x:f>
        <x:v>1160333.3333333333</x:v>
      </x:c>
      <x:c r="D8" s="123" t="n">
        <x:f>D7+MAX(0,$B$7-$B$6)/3</x:f>
        <x:v>2015333.3333333333</x:v>
      </x:c>
      <x:c r="E8" s="123" t="n">
        <x:f>E7+MAX(0,$B$7-$B$6)/3</x:f>
        <x:v>3035333.3333333335</x:v>
      </x:c>
      <x:c r="F8" s="14" t="str">
        <x:v>B = 300k; C/D/E = curva original + sobrante 2026/27 redistribuido.</x:v>
      </x:c>
      <x:c r="G8" s="121"/>
      <x:c r="H8" s="122"/>
    </x:row>
    <x:row r="9">
      <x:c r="A9" s="13" t="str">
        <x:v>Stock vivo</x:v>
      </x:c>
      <x:c r="B9" s="123" t="n">
        <x:f>B8</x:f>
        <x:v>300000</x:v>
      </x:c>
      <x:c r="C9" s="123" t="n">
        <x:f>B9+C8</x:f>
        <x:v>1460333.3333333333</x:v>
      </x:c>
      <x:c r="D9" s="123" t="n">
        <x:f>C9+D8</x:f>
        <x:v>3475666.6666666665</x:v>
      </x:c>
      <x:c r="E9" s="123" t="n">
        <x:f>D9+E8</x:f>
        <x:v>6511000</x:v>
      </x:c>
      <x:c r="F9" s="14" t="str">
        <x:v>Acumulado de m2 emitidos.</x:v>
      </x:c>
      <x:c r="G9" s="121"/>
      <x:c r="H9" s="122"/>
    </x:row>
    <x:row r="10">
      <x:c r="A10" s="13" t="str">
        <x:v>Partners activos</x:v>
      </x:c>
      <x:c r="B10" s="124" t="n">
        <x:v>5</x:v>
      </x:c>
      <x:c r="C10" s="124" t="n">
        <x:v>11</x:v>
      </x:c>
      <x:c r="D10" s="124" t="n">
        <x:v>17</x:v>
      </x:c>
      <x:c r="E10" s="124" t="n">
        <x:v>23</x:v>
      </x:c>
      <x:c r="F10" s="14" t="str">
        <x:v>Escala comercial por periodo.</x:v>
      </x:c>
      <x:c r="G10" s="121"/>
      <x:c r="H10" s="122"/>
    </x:row>
    <x:row r="11">
      <x:c r="A11" s="13" t="str">
        <x:v>Sobrante 2026/27 redistribuido</x:v>
      </x:c>
      <x:c r="B11" s="123" t="n">
        <x:f>MAX(0,$B$7-$B$6)</x:f>
        <x:v>286000</x:v>
      </x:c>
      <x:c r="C11" s="123" t="n">
        <x:f>B11/3</x:f>
        <x:v>95333.33333333333</x:v>
      </x:c>
      <x:c r="D11" s="123" t="n">
        <x:f>B11/3</x:f>
        <x:v>95333.33333333333</x:v>
      </x:c>
      <x:c r="E11" s="123" t="n">
        <x:f>B11/3</x:f>
        <x:v>95333.33333333333</x:v>
      </x:c>
      <x:c r="F11" s="14" t="str">
        <x:v>B = sobrante total; C/D/E = reparto igualitario sobre 2028-2030.</x:v>
      </x:c>
      <x:c r="G11" s="121"/>
      <x:c r="H11" s="122"/>
    </x:row>
    <x:row r="12">
      <x:c r="A12" s="116" t="str">
        <x:v>Unit economics, adopcion y verticales</x:v>
      </x:c>
      <x:c r="B12" s="117" t="str"/>
      <x:c r="C12" s="117" t="str"/>
      <x:c r="D12" s="117" t="str"/>
      <x:c r="E12" s="117" t="str"/>
      <x:c r="F12" s="117" t="str"/>
      <x:c r="G12" s="121"/>
      <x:c r="H12" s="122"/>
    </x:row>
    <x:row r="13">
      <x:c r="A13" s="114" t="str">
        <x:v>Concepto</x:v>
      </x:c>
      <x:c r="B13" s="125" t="str">
        <x:v>2026/27</x:v>
      </x:c>
      <x:c r="C13" s="125" t="str">
        <x:v>2028</x:v>
      </x:c>
      <x:c r="D13" s="125" t="str">
        <x:v>2029</x:v>
      </x:c>
      <x:c r="E13" s="125" t="str">
        <x:v>2030</x:v>
      </x:c>
      <x:c r="F13" s="115" t="str">
        <x:v>Notas / driver</x:v>
      </x:c>
      <x:c r="G13" s="121"/>
      <x:c r="H13" s="122"/>
    </x:row>
    <x:row r="14">
      <x:c r="A14" s="13" t="str">
        <x:v>Fee de Red Fabricante EUR/m2</x:v>
      </x:c>
      <x:c r="B14" s="124" t="n">
        <x:v>2.5</x:v>
      </x:c>
      <x:c r="C14" s="124" t="n">
        <x:v>2.5</x:v>
      </x:c>
      <x:c r="D14" s="124" t="n">
        <x:v>2.5</x:v>
      </x:c>
      <x:c r="E14" s="124" t="n">
        <x:v>2.5</x:v>
      </x:c>
      <x:c r="F14" s="14" t="str">
        <x:v>Servicio de red fabricante por m2 fabricado verificado.</x:v>
      </x:c>
      <x:c r="G14" s="121"/>
      <x:c r="H14" s="122"/>
    </x:row>
    <x:row r="15">
      <x:c r="A15" s="13" t="str">
        <x:v>Fee de Red Montaje EUR/m2</x:v>
      </x:c>
      <x:c r="B15" s="124" t="n">
        <x:v>2.5</x:v>
      </x:c>
      <x:c r="C15" s="124" t="n">
        <x:v>2.5</x:v>
      </x:c>
      <x:c r="D15" s="124" t="n">
        <x:v>2.5</x:v>
      </x:c>
      <x:c r="E15" s="124" t="n">
        <x:v>2.5</x:v>
      </x:c>
      <x:c r="F15" s="14" t="str">
        <x:v>Servicio de red montaje por m2 instalado/verificado.</x:v>
      </x:c>
      <x:c r="G15" s="121"/>
      <x:c r="H15" s="122"/>
    </x:row>
    <x:row r="16">
      <x:c r="A16" s="13" t="str">
        <x:v>Cobertura fee montaje</x:v>
      </x:c>
      <x:c r="B16" s="126" t="n">
        <x:v>0.85</x:v>
      </x:c>
      <x:c r="C16" s="126" t="n">
        <x:v>0.9</x:v>
      </x:c>
      <x:c r="D16" s="126" t="n">
        <x:v>0.93</x:v>
      </x:c>
      <x:c r="E16" s="126" t="n">
        <x:v>0.95</x:v>
      </x:c>
      <x:c r="F16" s="14" t="str">
        <x:v>Cobertura progresiva del trigger de montaje.</x:v>
      </x:c>
      <x:c r="G16" s="121"/>
      <x:c r="H16" s="122"/>
    </x:row>
    <x:row r="17">
      <x:c r="A17" s="13" t="str">
        <x:v>Precio Designer EUR/m2</x:v>
      </x:c>
      <x:c r="B17" s="124" t="n">
        <x:v>3</x:v>
      </x:c>
      <x:c r="C17" s="124" t="n">
        <x:v>3.2</x:v>
      </x:c>
      <x:c r="D17" s="124" t="n">
        <x:v>3.3</x:v>
      </x:c>
      <x:c r="E17" s="124" t="n">
        <x:v>3.5</x:v>
      </x:c>
      <x:c r="F17" s="14" t="str">
        <x:v>Precio por m2 emitido.</x:v>
      </x:c>
      <x:c r="G17" s="121"/>
      <x:c r="H17" s="122"/>
    </x:row>
    <x:row r="18">
      <x:c r="A18" s="13" t="str">
        <x:v>Adopcion Designer</x:v>
      </x:c>
      <x:c r="B18" s="126" t="n">
        <x:v>0.72</x:v>
      </x:c>
      <x:c r="C18" s="126" t="n">
        <x:v>0.78</x:v>
      </x:c>
      <x:c r="D18" s="126" t="n">
        <x:v>0.82</x:v>
      </x:c>
      <x:c r="E18" s="126" t="n">
        <x:v>0.86</x:v>
      </x:c>
      <x:c r="F18" s="14" t="str">
        <x:v>Adopcion sobre m2 emitidos.</x:v>
      </x:c>
      <x:c r="G18" s="121"/>
      <x:c r="H18" s="122"/>
    </x:row>
    <x:row r="19">
      <x:c r="A19" s="13" t="str">
        <x:v>Precio Manager EUR/m2</x:v>
      </x:c>
      <x:c r="B19" s="124" t="n">
        <x:v>2.6</x:v>
      </x:c>
      <x:c r="C19" s="124" t="n">
        <x:v>2.7</x:v>
      </x:c>
      <x:c r="D19" s="124" t="n">
        <x:v>2.8</x:v>
      </x:c>
      <x:c r="E19" s="124" t="n">
        <x:v>3</x:v>
      </x:c>
      <x:c r="F19" s="14" t="str">
        <x:v>Precio por m2 emitido.</x:v>
      </x:c>
      <x:c r="G19" s="121"/>
      <x:c r="H19" s="122"/>
    </x:row>
    <x:row r="20">
      <x:c r="A20" s="13" t="str">
        <x:v>Adopcion Manager</x:v>
      </x:c>
      <x:c r="B20" s="126" t="n">
        <x:v>0.82</x:v>
      </x:c>
      <x:c r="C20" s="126" t="n">
        <x:v>0.88</x:v>
      </x:c>
      <x:c r="D20" s="126" t="n">
        <x:v>0.92</x:v>
      </x:c>
      <x:c r="E20" s="126" t="n">
        <x:v>0.95</x:v>
      </x:c>
      <x:c r="F20" s="14" t="str">
        <x:v>Adopcion sobre m2 emitidos.</x:v>
      </x:c>
      <x:c r="G20" s="121"/>
      <x:c r="H20" s="122"/>
    </x:row>
    <x:row r="21">
      <x:c r="A21" s="13" t="str">
        <x:v>Precio Asset Activation EUR/m2</x:v>
      </x:c>
      <x:c r="B21" s="124" t="n">
        <x:v>5</x:v>
      </x:c>
      <x:c r="C21" s="124" t="n">
        <x:v>6.5</x:v>
      </x:c>
      <x:c r="D21" s="124" t="n">
        <x:v>7.25</x:v>
      </x:c>
      <x:c r="E21" s="124" t="n">
        <x:v>8</x:v>
      </x:c>
      <x:c r="F21" s="14" t="str">
        <x:v>Activacion de activo por m2 emitido.</x:v>
      </x:c>
      <x:c r="G21" s="121"/>
      <x:c r="H21" s="122"/>
    </x:row>
    <x:row r="22">
      <x:c r="A22" s="13" t="str">
        <x:v>Completion Asset Activation</x:v>
      </x:c>
      <x:c r="B22" s="126" t="n">
        <x:v>0.88</x:v>
      </x:c>
      <x:c r="C22" s="126" t="n">
        <x:v>0.95</x:v>
      </x:c>
      <x:c r="D22" s="126" t="n">
        <x:v>0.92</x:v>
      </x:c>
      <x:c r="E22" s="126" t="n">
        <x:v>1</x:v>
      </x:c>
      <x:c r="F22" s="14" t="str">
        <x:v>Porcentaje de cierre/activacion.</x:v>
      </x:c>
      <x:c r="G22" s="121"/>
      <x:c r="H22" s="122"/>
    </x:row>
    <x:row r="23">
      <x:c r="A23" s="13" t="str">
        <x:v>Precio POI base EUR/m2</x:v>
      </x:c>
      <x:c r="B23" s="124" t="n">
        <x:v>3.4</x:v>
      </x:c>
      <x:c r="C23" s="124" t="n">
        <x:v>4.1</x:v>
      </x:c>
      <x:c r="D23" s="124" t="n">
        <x:v>4.8</x:v>
      </x:c>
      <x:c r="E23" s="124" t="n">
        <x:v>5.5</x:v>
      </x:c>
      <x:c r="F23" s="14" t="str">
        <x:v>POI base por m2.</x:v>
      </x:c>
      <x:c r="G23" s="121"/>
      <x:c r="H23" s="122"/>
    </x:row>
    <x:row r="24">
      <x:c r="A24" s="13" t="str">
        <x:v>Uplift POI</x:v>
      </x:c>
      <x:c r="B24" s="126" t="n">
        <x:v>0.2</x:v>
      </x:c>
      <x:c r="C24" s="126" t="n">
        <x:v>0.25</x:v>
      </x:c>
      <x:c r="D24" s="126" t="n">
        <x:v>0.25</x:v>
      </x:c>
      <x:c r="E24" s="126" t="n">
        <x:v>0.25</x:v>
      </x:c>
      <x:c r="F24" s="14" t="str">
        <x:v>Complejidad/servicios adicionales.</x:v>
      </x:c>
      <x:c r="G24" s="121"/>
      <x:c r="H24" s="122"/>
    </x:row>
    <x:row r="25">
      <x:c r="A25" s="13" t="str">
        <x:v>POI completion</x:v>
      </x:c>
      <x:c r="B25" s="126" t="n">
        <x:v>0.78</x:v>
      </x:c>
      <x:c r="C25" s="126" t="n">
        <x:v>0.9</x:v>
      </x:c>
      <x:c r="D25" s="126" t="n">
        <x:v>0.92</x:v>
      </x:c>
      <x:c r="E25" s="126" t="n">
        <x:v>0.95</x:v>
      </x:c>
      <x:c r="F25" s="14" t="str">
        <x:v>Porcentaje de eventos POI completados.</x:v>
      </x:c>
      <x:c r="G25" s="121"/>
      <x:c r="H25" s="122"/>
    </x:row>
    <x:row r="26">
      <x:c r="A26" s="13" t="str">
        <x:v>Precio DPP base EUR/m2</x:v>
      </x:c>
      <x:c r="B26" s="124" t="n">
        <x:v>4.4</x:v>
      </x:c>
      <x:c r="C26" s="124" t="n">
        <x:v>5.4</x:v>
      </x:c>
      <x:c r="D26" s="124" t="n">
        <x:v>6.4</x:v>
      </x:c>
      <x:c r="E26" s="124" t="n">
        <x:v>7.5</x:v>
      </x:c>
      <x:c r="F26" s="14" t="str">
        <x:v>DPP / Carpeta Madre por m2.</x:v>
      </x:c>
      <x:c r="G26" s="121"/>
      <x:c r="H26" s="122"/>
    </x:row>
    <x:row r="27">
      <x:c r="A27" s="13" t="str">
        <x:v>Uplift DPP</x:v>
      </x:c>
      <x:c r="B27" s="126" t="n">
        <x:v>0.12</x:v>
      </x:c>
      <x:c r="C27" s="126" t="n">
        <x:v>0.15</x:v>
      </x:c>
      <x:c r="D27" s="126" t="n">
        <x:v>0.15</x:v>
      </x:c>
      <x:c r="E27" s="126" t="n">
        <x:v>0.15</x:v>
      </x:c>
      <x:c r="F27" s="14" t="str">
        <x:v>Complejidad documental.</x:v>
      </x:c>
      <x:c r="G27" s="121"/>
      <x:c r="H27" s="122"/>
    </x:row>
    <x:row r="28">
      <x:c r="A28" s="13" t="str">
        <x:v>DPP completion</x:v>
      </x:c>
      <x:c r="B28" s="126" t="n">
        <x:v>0.62</x:v>
      </x:c>
      <x:c r="C28" s="126" t="n">
        <x:v>0.74</x:v>
      </x:c>
      <x:c r="D28" s="126" t="n">
        <x:v>0.82</x:v>
      </x:c>
      <x:c r="E28" s="126" t="n">
        <x:v>0.88</x:v>
      </x:c>
      <x:c r="F28" s="14" t="str">
        <x:v>Porcentaje de activos con DPP cerrado.</x:v>
      </x:c>
      <x:c r="G28" s="121"/>
      <x:c r="H28" s="122"/>
    </x:row>
    <x:row r="29">
      <x:c r="A29" s="13" t="str">
        <x:v>Precio recurrente digital EUR/m2 stock</x:v>
      </x:c>
      <x:c r="B29" s="124" t="n">
        <x:v>0.95</x:v>
      </x:c>
      <x:c r="C29" s="124" t="n">
        <x:v>1.35</x:v>
      </x:c>
      <x:c r="D29" s="124" t="n">
        <x:v>1.8</x:v>
      </x:c>
      <x:c r="E29" s="124" t="n">
        <x:v>2.3</x:v>
      </x:c>
      <x:c r="F29" s="14" t="str">
        <x:v>Sobre stock vivo.</x:v>
      </x:c>
      <x:c r="G29" s="121"/>
      <x:c r="H29" s="122"/>
    </x:row>
    <x:row r="30">
      <x:c r="A30" s="13" t="str">
        <x:v>Uplift Network Maintenance</x:v>
      </x:c>
      <x:c r="B30" s="126" t="n">
        <x:v>0.3</x:v>
      </x:c>
      <x:c r="C30" s="126" t="n">
        <x:v>0.4</x:v>
      </x:c>
      <x:c r="D30" s="126" t="n">
        <x:v>0.45</x:v>
      </x:c>
      <x:c r="E30" s="126" t="n">
        <x:v>0.5</x:v>
      </x:c>
      <x:c r="F30" s="14" t="str">
        <x:v>Servicios adicionales sobre mantenimiento.</x:v>
      </x:c>
      <x:c r="G30" s="121"/>
      <x:c r="H30" s="122"/>
    </x:row>
    <x:row r="31">
      <x:c r="A31" s="13" t="str">
        <x:v>Conversion recurrente</x:v>
      </x:c>
      <x:c r="B31" s="126" t="n">
        <x:v>0.4</x:v>
      </x:c>
      <x:c r="C31" s="126" t="n">
        <x:v>0.52</x:v>
      </x:c>
      <x:c r="D31" s="126" t="n">
        <x:v>0.45</x:v>
      </x:c>
      <x:c r="E31" s="126" t="n">
        <x:v>0.56</x:v>
      </x:c>
      <x:c r="F31" s="14" t="str">
        <x:v>Conversion del stock vivo a servicios recurrentes.</x:v>
      </x:c>
      <x:c r="G31" s="121"/>
      <x:c r="H31" s="122"/>
    </x:row>
    <x:row r="32">
      <x:c r="A32" s="13" t="str">
        <x:v>Precio Data Layers EUR/m2 stock</x:v>
      </x:c>
      <x:c r="B32" s="124" t="n">
        <x:v>1.5</x:v>
      </x:c>
      <x:c r="C32" s="124" t="n">
        <x:v>2.1</x:v>
      </x:c>
      <x:c r="D32" s="124" t="n">
        <x:v>2.8</x:v>
      </x:c>
      <x:c r="E32" s="124" t="n">
        <x:v>3.6</x:v>
      </x:c>
      <x:c r="F32" s="14" t="str">
        <x:v>Capa de datos sobre stock vivo.</x:v>
      </x:c>
      <x:c r="G32" s="121"/>
      <x:c r="H32" s="122"/>
    </x:row>
    <x:row r="33">
      <x:c r="A33" s="13" t="str">
        <x:v>Uplift Data Layers</x:v>
      </x:c>
      <x:c r="B33" s="126" t="n">
        <x:v>0.2</x:v>
      </x:c>
      <x:c r="C33" s="126" t="n">
        <x:v>0.25</x:v>
      </x:c>
      <x:c r="D33" s="126" t="n">
        <x:v>0.3</x:v>
      </x:c>
      <x:c r="E33" s="126" t="n">
        <x:v>0.3</x:v>
      </x:c>
      <x:c r="F33" s="14" t="str">
        <x:v>Complejidad/valor de datos.</x:v>
      </x:c>
      <x:c r="G33" s="121"/>
      <x:c r="H33" s="122"/>
    </x:row>
    <x:row r="34">
      <x:c r="A34" s="13" t="str">
        <x:v>Adopcion Data Layers</x:v>
      </x:c>
      <x:c r="B34" s="126" t="n">
        <x:v>0.16</x:v>
      </x:c>
      <x:c r="C34" s="126" t="n">
        <x:v>0.22</x:v>
      </x:c>
      <x:c r="D34" s="126" t="n">
        <x:v>0.3</x:v>
      </x:c>
      <x:c r="E34" s="126" t="n">
        <x:v>0.39</x:v>
      </x:c>
      <x:c r="F34" s="14" t="str">
        <x:v>Adopcion de modulos data.</x:v>
      </x:c>
      <x:c r="G34" s="121"/>
      <x:c r="H34" s="122"/>
    </x:row>
    <x:row r="35">
      <x:c r="A35" s="13" t="str">
        <x:v>Penetracion Marketplace</x:v>
      </x:c>
      <x:c r="B35" s="126" t="n">
        <x:v>0.18</x:v>
      </x:c>
      <x:c r="C35" s="126" t="n">
        <x:v>0.28</x:v>
      </x:c>
      <x:c r="D35" s="126" t="n">
        <x:v>0.4</x:v>
      </x:c>
      <x:c r="E35" s="126" t="n">
        <x:v>0.52</x:v>
      </x:c>
      <x:c r="F35" s="14" t="str">
        <x:v>Penetracion sobre stock vivo.</x:v>
      </x:c>
      <x:c r="G35" s="121"/>
      <x:c r="H35" s="122"/>
    </x:row>
    <x:row r="36">
      <x:c r="A36" s="13" t="str">
        <x:v>Fee Marketplace EUR/m2 stock</x:v>
      </x:c>
      <x:c r="B36" s="124" t="n">
        <x:v>1.5</x:v>
      </x:c>
      <x:c r="C36" s="124" t="n">
        <x:v>1.6</x:v>
      </x:c>
      <x:c r="D36" s="124" t="n">
        <x:v>1.8</x:v>
      </x:c>
      <x:c r="E36" s="124" t="n">
        <x:v>2</x:v>
      </x:c>
      <x:c r="F36" s="14" t="str">
        <x:v>Fee por m2 de stock vivo.</x:v>
      </x:c>
      <x:c r="G36" s="121"/>
      <x:c r="H36" s="122"/>
    </x:row>
    <x:row r="37">
      <x:c r="A37" s="13" t="str">
        <x:v>Servicios premium Marketplace EUR M</x:v>
      </x:c>
      <x:c r="B37" s="124" t="n">
        <x:v>0.25</x:v>
      </x:c>
      <x:c r="C37" s="124" t="n">
        <x:v>0.6</x:v>
      </x:c>
      <x:c r="D37" s="124" t="n">
        <x:v>1.2</x:v>
      </x:c>
      <x:c r="E37" s="124" t="n">
        <x:v>2</x:v>
      </x:c>
      <x:c r="F37" s="14" t="str">
        <x:v>Servicios premium no directamente ligados a m2.</x:v>
      </x:c>
      <x:c r="G37" s="121"/>
      <x:c r="H37" s="122"/>
    </x:row>
    <x:row r="38">
      <x:c r="A38" s="13" t="str">
        <x:v>iPath revenue EUR M</x:v>
      </x:c>
      <x:c r="B38" s="124" t="n">
        <x:v>2.39</x:v>
      </x:c>
      <x:c r="C38" s="124" t="n">
        <x:v>7.21</x:v>
      </x:c>
      <x:c r="D38" s="124" t="n">
        <x:v>16.01</x:v>
      </x:c>
      <x:c r="E38" s="124" t="n">
        <x:v>33.91</x:v>
      </x:c>
      <x:c r="F38" s="14" t="str">
        <x:v>Vertical iPath.</x:v>
      </x:c>
      <x:c r="G38" s="121"/>
      <x:c r="H38" s="122"/>
    </x:row>
    <x:row r="39">
      <x:c r="A39" s="13" t="str">
        <x:v>Moolde revenue EUR M</x:v>
      </x:c>
      <x:c r="B39" s="124" t="n">
        <x:v>0.2</x:v>
      </x:c>
      <x:c r="C39" s="124" t="n">
        <x:v>0.8</x:v>
      </x:c>
      <x:c r="D39" s="124" t="n">
        <x:v>1.8</x:v>
      </x:c>
      <x:c r="E39" s="124" t="n">
        <x:v>3</x:v>
      </x:c>
      <x:c r="F39" s="14" t="str">
        <x:v>Vertical circularidad/materiales.</x:v>
      </x:c>
      <x:c r="G39" s="121"/>
      <x:c r="H39" s="122"/>
    </x:row>
    <x:row r="40">
      <x:c r="A40" s="13" t="str">
        <x:v>Internacional revenue EUR M</x:v>
      </x:c>
      <x:c r="B40" s="124" t="n">
        <x:v>0</x:v>
      </x:c>
      <x:c r="C40" s="124" t="n">
        <x:v>1.5</x:v>
      </x:c>
      <x:c r="D40" s="124" t="n">
        <x:v>4</x:v>
      </x:c>
      <x:c r="E40" s="124" t="n">
        <x:v>12</x:v>
      </x:c>
      <x:c r="F40" s="14" t="str">
        <x:v>Expansion internacional.</x:v>
      </x:c>
      <x:c r="G40" s="121"/>
      <x:c r="H40" s="122"/>
    </x:row>
    <x:row r="41">
      <x:c r="A41" s="13" t="str">
        <x:v>Financial Layer revenue EUR M</x:v>
      </x:c>
      <x:c r="B41" s="124" t="n">
        <x:v>0.3</x:v>
      </x:c>
      <x:c r="C41" s="124" t="n">
        <x:v>1.2</x:v>
      </x:c>
      <x:c r="D41" s="124" t="n">
        <x:v>3</x:v>
      </x:c>
      <x:c r="E41" s="124" t="n">
        <x:v>9</x:v>
      </x:c>
      <x:c r="F41" s="14" t="str">
        <x:v>Capa financiera / datos / servicios.</x:v>
      </x:c>
      <x:c r="G41" s="121"/>
      <x:c r="H41" s="122"/>
    </x:row>
    <x:row r="42">
      <x:c r="A42" s="13"/>
      <x:c r="B42" s="14"/>
      <x:c r="C42" s="14"/>
      <x:c r="D42" s="14"/>
      <x:c r="E42" s="14"/>
      <x:c r="F42" s="14"/>
      <x:c r="G42" s="121"/>
      <x:c r="H42" s="122"/>
    </x:row>
    <x:row r="43">
      <x:c r="A43" s="13"/>
      <x:c r="B43" s="14"/>
      <x:c r="C43" s="14"/>
      <x:c r="D43" s="14"/>
      <x:c r="E43" s="14"/>
      <x:c r="F43" s="14"/>
      <x:c r="G43" s="121"/>
      <x:c r="H43" s="122"/>
    </x:row>
    <x:row r="44">
      <x:c r="A44" s="116" t="str">
        <x:v>Margenes, cash, amortizacion y financiacion</x:v>
      </x:c>
      <x:c r="B44" s="117" t="str"/>
      <x:c r="C44" s="117" t="str"/>
      <x:c r="D44" s="117" t="str"/>
      <x:c r="E44" s="117" t="str"/>
      <x:c r="F44" s="117" t="str"/>
      <x:c r="G44" s="121"/>
      <x:c r="H44" s="122"/>
    </x:row>
    <x:row r="45">
      <x:c r="A45" s="114" t="str">
        <x:v>Concepto</x:v>
      </x:c>
      <x:c r="B45" s="125" t="str">
        <x:v>2026/27</x:v>
      </x:c>
      <x:c r="C45" s="125" t="str">
        <x:v>2028</x:v>
      </x:c>
      <x:c r="D45" s="125" t="str">
        <x:v>2029</x:v>
      </x:c>
      <x:c r="E45" s="125" t="str">
        <x:v>2030</x:v>
      </x:c>
      <x:c r="F45" s="115" t="str">
        <x:v>Notas / driver</x:v>
      </x:c>
      <x:c r="G45" s="121"/>
      <x:c r="H45" s="122"/>
    </x:row>
    <x:row r="46">
      <x:c r="A46" s="13" t="str">
        <x:v>Margen Asset OS</x:v>
      </x:c>
      <x:c r="B46" s="126" t="n">
        <x:v>0.75</x:v>
      </x:c>
      <x:c r="C46" s="126" t="n">
        <x:v>0.77</x:v>
      </x:c>
      <x:c r="D46" s="126" t="n">
        <x:v>0.79</x:v>
      </x:c>
      <x:c r="E46" s="126" t="n">
        <x:v>0.82</x:v>
      </x:c>
      <x:c r="F46" s="14" t="str">
        <x:v>Aplicado al resto de Asset OS excluyendo digitalizacion y fees especificos.</x:v>
      </x:c>
      <x:c r="G46" s="121"/>
      <x:c r="H46" s="122"/>
    </x:row>
    <x:row r="47">
      <x:c r="A47" s="13" t="str">
        <x:v>Margen iPath</x:v>
      </x:c>
      <x:c r="B47" s="126" t="n">
        <x:v>0.4</x:v>
      </x:c>
      <x:c r="C47" s="126" t="n">
        <x:v>0.42</x:v>
      </x:c>
      <x:c r="D47" s="126" t="n">
        <x:v>0.44</x:v>
      </x:c>
      <x:c r="E47" s="126" t="n">
        <x:v>0.48</x:v>
      </x:c>
      <x:c r="F47" s="14" t="str">
        <x:v>Margen de contribucion vertical iPath.</x:v>
      </x:c>
      <x:c r="G47" s="121"/>
      <x:c r="H47" s="122"/>
    </x:row>
    <x:row r="48">
      <x:c r="A48" s="13" t="str">
        <x:v>Margen Marketplace</x:v>
      </x:c>
      <x:c r="B48" s="126" t="n">
        <x:v>0.8</x:v>
      </x:c>
      <x:c r="C48" s="126" t="n">
        <x:v>0.82</x:v>
      </x:c>
      <x:c r="D48" s="126" t="n">
        <x:v>0.84</x:v>
      </x:c>
      <x:c r="E48" s="126" t="n">
        <x:v>0.86</x:v>
      </x:c>
      <x:c r="F48" s="14" t="str">
        <x:v>Margen de contribucion Marketplace.</x:v>
      </x:c>
      <x:c r="G48" s="121"/>
      <x:c r="H48" s="122"/>
    </x:row>
    <x:row r="49">
      <x:c r="A49" s="13" t="str">
        <x:v>Margen Internacional</x:v>
      </x:c>
      <x:c r="B49" s="126" t="n">
        <x:v>0.65</x:v>
      </x:c>
      <x:c r="C49" s="126" t="n">
        <x:v>0.68</x:v>
      </x:c>
      <x:c r="D49" s="126" t="n">
        <x:v>0.7</x:v>
      </x:c>
      <x:c r="E49" s="126" t="n">
        <x:v>0.75</x:v>
      </x:c>
      <x:c r="F49" s="14" t="str">
        <x:v>Margen contribucion internacional.</x:v>
      </x:c>
      <x:c r="G49" s="121"/>
      <x:c r="H49" s="122"/>
    </x:row>
    <x:row r="50">
      <x:c r="A50" s="13" t="str">
        <x:v>Margen Financial Layer</x:v>
      </x:c>
      <x:c r="B50" s="126" t="n">
        <x:v>0.68</x:v>
      </x:c>
      <x:c r="C50" s="126" t="n">
        <x:v>0.72</x:v>
      </x:c>
      <x:c r="D50" s="126" t="n">
        <x:v>0.75</x:v>
      </x:c>
      <x:c r="E50" s="126" t="n">
        <x:v>0.85</x:v>
      </x:c>
      <x:c r="F50" s="14" t="str">
        <x:v>Margen servicios financieros/datos.</x:v>
      </x:c>
      <x:c r="G50" s="121"/>
      <x:c r="H50" s="122"/>
    </x:row>
    <x:row r="51">
      <x:c r="A51" s="13" t="str">
        <x:v>GM digitalizacion fabricante</x:v>
      </x:c>
      <x:c r="B51" s="126" t="n">
        <x:v>0.58</x:v>
      </x:c>
      <x:c r="C51" s="126" t="n">
        <x:v>0.6</x:v>
      </x:c>
      <x:c r="D51" s="126" t="n">
        <x:v>0.62</x:v>
      </x:c>
      <x:c r="E51" s="126" t="n">
        <x:v>0.65</x:v>
      </x:c>
      <x:c r="F51" s="14" t="str">
        <x:v>Margen por paquete de digitalizacion fabricante.</x:v>
      </x:c>
      <x:c r="G51" s="121"/>
      <x:c r="H51" s="122"/>
    </x:row>
    <x:row r="52">
      <x:c r="A52" s="13" t="str">
        <x:v>GM digitalizacion montaje</x:v>
      </x:c>
      <x:c r="B52" s="126" t="n">
        <x:v>0.62</x:v>
      </x:c>
      <x:c r="C52" s="126" t="n">
        <x:v>0.65</x:v>
      </x:c>
      <x:c r="D52" s="126" t="n">
        <x:v>0.67</x:v>
      </x:c>
      <x:c r="E52" s="126" t="n">
        <x:v>0.7</x:v>
      </x:c>
      <x:c r="F52" s="14" t="str">
        <x:v>Margen por paquete de digitalizacion montaje.</x:v>
      </x:c>
      <x:c r="G52" s="121"/>
      <x:c r="H52" s="122"/>
    </x:row>
    <x:row r="53">
      <x:c r="A53" s="13" t="str">
        <x:v>GM fee fabricante</x:v>
      </x:c>
      <x:c r="B53" s="126" t="n">
        <x:v>0.86</x:v>
      </x:c>
      <x:c r="C53" s="126" t="n">
        <x:v>0.87</x:v>
      </x:c>
      <x:c r="D53" s="126" t="n">
        <x:v>0.88</x:v>
      </x:c>
      <x:c r="E53" s="126" t="n">
        <x:v>0.9</x:v>
      </x:c>
      <x:c r="F53" s="14" t="str">
        <x:v>Margen sobre fee fabricante.</x:v>
      </x:c>
      <x:c r="G53" s="121"/>
      <x:c r="H53" s="122"/>
    </x:row>
    <x:row r="54">
      <x:c r="A54" s="13" t="str">
        <x:v>GM fee montaje</x:v>
      </x:c>
      <x:c r="B54" s="126" t="n">
        <x:v>0.84</x:v>
      </x:c>
      <x:c r="C54" s="126" t="n">
        <x:v>0.86</x:v>
      </x:c>
      <x:c r="D54" s="126" t="n">
        <x:v>0.87</x:v>
      </x:c>
      <x:c r="E54" s="126" t="n">
        <x:v>0.88</x:v>
      </x:c>
      <x:c r="F54" s="14" t="str">
        <x:v>Margen sobre fee montaje.</x:v>
      </x:c>
      <x:c r="G54" s="121"/>
      <x:c r="H54" s="122"/>
    </x:row>
    <x:row r="55">
      <x:c r="A55" s="13" t="str">
        <x:v>Margen Moolde</x:v>
      </x:c>
      <x:c r="B55" s="126" t="n">
        <x:v>1</x:v>
      </x:c>
      <x:c r="C55" s="126" t="n">
        <x:v>1</x:v>
      </x:c>
      <x:c r="D55" s="126" t="n">
        <x:v>1</x:v>
      </x:c>
      <x:c r="E55" s="126" t="n">
        <x:v>1</x:v>
      </x:c>
      <x:c r="F55" s="14" t="str">
        <x:v>Moolde se modela como contribucion neta.</x:v>
      </x:c>
      <x:c r="G55" s="121"/>
      <x:c r="H55" s="122"/>
    </x:row>
    <x:row r="56">
      <x:c r="A56" s="13" t="str">
        <x:v>WC % crecimiento</x:v>
      </x:c>
      <x:c r="B56" s="126" t="n">
        <x:v>0.15</x:v>
      </x:c>
      <x:c r="C56" s="126" t="n">
        <x:v>0.16</x:v>
      </x:c>
      <x:c r="D56" s="126" t="n">
        <x:v>0.17</x:v>
      </x:c>
      <x:c r="E56" s="126" t="n">
        <x:v>0.18</x:v>
      </x:c>
      <x:c r="F56" s="14" t="str">
        <x:v>Capital circulante incremental sobre crecimiento de ingresos.</x:v>
      </x:c>
      <x:c r="G56" s="121"/>
      <x:c r="H56" s="122"/>
    </x:row>
    <x:row r="57">
      <x:c r="A57" s="13" t="str">
        <x:v>Capex EUR M</x:v>
      </x:c>
      <x:c r="B57" s="124" t="n">
        <x:v>2</x:v>
      </x:c>
      <x:c r="C57" s="124" t="n">
        <x:v>2.5</x:v>
      </x:c>
      <x:c r="D57" s="124" t="n">
        <x:v>3</x:v>
      </x:c>
      <x:c r="E57" s="124" t="n">
        <x:v>4</x:v>
      </x:c>
      <x:c r="F57" s="14" t="str">
        <x:v>Capex de plataforma, producto y despliegue.</x:v>
      </x:c>
      <x:c r="G57" s="121"/>
      <x:c r="H57" s="122"/>
    </x:row>
    <x:row r="58">
      <x:c r="A58" s="13" t="str">
        <x:v>Tasa fiscal</x:v>
      </x:c>
      <x:c r="B58" s="126" t="n">
        <x:v>0.25</x:v>
      </x:c>
      <x:c r="C58" s="126" t="n">
        <x:v>0.25</x:v>
      </x:c>
      <x:c r="D58" s="126" t="n">
        <x:v>0.25</x:v>
      </x:c>
      <x:c r="E58" s="126" t="n">
        <x:v>0.25</x:v>
      </x:c>
      <x:c r="F58" s="14" t="str">
        <x:v>Sobre resultado antes de impuestos positivo.</x:v>
      </x:c>
      <x:c r="G58" s="121"/>
      <x:c r="H58" s="122"/>
    </x:row>
    <x:row r="59">
      <x:c r="A59" s="13" t="str">
        <x:v>Financiacion EUR M</x:v>
      </x:c>
      <x:c r="B59" s="124" t="n">
        <x:v>3</x:v>
      </x:c>
      <x:c r="C59" s="124" t="n">
        <x:v>1.5</x:v>
      </x:c>
      <x:c r="D59" s="124" t="n">
        <x:v>0</x:v>
      </x:c>
      <x:c r="E59" s="124" t="n">
        <x:v>0</x:v>
      </x:c>
      <x:c r="F59" s="14" t="str">
        <x:v>Financiacion externa separada del EBITDA.</x:v>
      </x:c>
      <x:c r="G59" s="121"/>
      <x:c r="H59" s="122"/>
    </x:row>
    <x:row r="60">
      <x:c r="A60" s="13" t="str">
        <x:v>Amortizacion / D&amp;A EUR M</x:v>
      </x:c>
      <x:c r="B60" s="124" t="n">
        <x:v>0.45</x:v>
      </x:c>
      <x:c r="C60" s="124" t="n">
        <x:v>0.75</x:v>
      </x:c>
      <x:c r="D60" s="124" t="n">
        <x:v>1.1</x:v>
      </x:c>
      <x:c r="E60" s="124" t="n">
        <x:v>1.55</x:v>
      </x:c>
      <x:c r="F60" s="14" t="str">
        <x:v>Amortizacion contable de plataforma, IP, equipamiento y despliegue.</x:v>
      </x:c>
      <x:c r="G60" s="121"/>
      <x:c r="H60" s="122"/>
    </x:row>
    <x:row r="61">
      <x:c r="A61" s="13" t="str">
        <x:v>Gasto financiero EUR M</x:v>
      </x:c>
      <x:c r="B61" s="124" t="n">
        <x:v>0.21</x:v>
      </x:c>
      <x:c r="C61" s="124" t="n">
        <x:v>0.105</x:v>
      </x:c>
      <x:c r="D61" s="124" t="n">
        <x:v>0</x:v>
      </x:c>
      <x:c r="E61" s="124" t="n">
        <x:v>0</x:v>
      </x:c>
      <x:c r="F61" s="14" t="str">
        <x:v>Coste financiero estimado asociado a la financiacion externa.</x:v>
      </x:c>
      <x:c r="G61" s="121"/>
      <x:c r="H61" s="122"/>
    </x:row>
    <x:row r="62">
      <x:c r="A62" s="13"/>
      <x:c r="B62" s="14"/>
      <x:c r="C62" s="14"/>
      <x:c r="D62" s="14"/>
      <x:c r="E62" s="14"/>
      <x:c r="F62" s="14"/>
      <x:c r="G62" s="121"/>
      <x:c r="H62" s="122"/>
    </x:row>
    <x:row r="63">
      <x:c r="A63" s="13"/>
      <x:c r="B63" s="14"/>
      <x:c r="C63" s="14"/>
      <x:c r="D63" s="14"/>
      <x:c r="E63" s="14"/>
      <x:c r="F63" s="14"/>
      <x:c r="G63" s="121"/>
      <x:c r="H63" s="122"/>
    </x:row>
    <x:row r="64">
      <x:c r="A64" s="13"/>
      <x:c r="B64" s="14"/>
      <x:c r="C64" s="14"/>
      <x:c r="D64" s="14"/>
      <x:c r="E64" s="14"/>
      <x:c r="F64" s="14"/>
      <x:c r="G64" s="121"/>
      <x:c r="H64" s="122"/>
    </x:row>
    <x:row r="65">
      <x:c r="A65" s="13"/>
      <x:c r="B65" s="14"/>
      <x:c r="C65" s="14"/>
      <x:c r="D65" s="14"/>
      <x:c r="E65" s="14"/>
      <x:c r="F65" s="14"/>
      <x:c r="G65" s="121"/>
      <x:c r="H65" s="122"/>
    </x:row>
    <x:row r="66">
      <x:c r="A66" s="13"/>
      <x:c r="B66" s="14"/>
      <x:c r="C66" s="14"/>
      <x:c r="D66" s="14"/>
      <x:c r="E66" s="14"/>
      <x:c r="F66" s="14"/>
      <x:c r="G66" s="121"/>
      <x:c r="H66" s="122"/>
    </x:row>
    <x:row r="67">
      <x:c r="A67" s="13"/>
      <x:c r="B67" s="14"/>
      <x:c r="C67" s="14"/>
      <x:c r="D67" s="14"/>
      <x:c r="E67" s="14"/>
      <x:c r="F67" s="14"/>
      <x:c r="G67" s="121"/>
      <x:c r="H67" s="122"/>
    </x:row>
    <x:row r="68">
      <x:c r="A68" s="13"/>
      <x:c r="B68" s="14"/>
      <x:c r="C68" s="14"/>
      <x:c r="D68" s="14"/>
      <x:c r="E68" s="14"/>
      <x:c r="F68" s="14"/>
      <x:c r="G68" s="121"/>
      <x:c r="H68" s="122"/>
    </x:row>
    <x:row r="69">
      <x:c r="A69" s="13"/>
      <x:c r="B69" s="14"/>
      <x:c r="C69" s="14"/>
      <x:c r="D69" s="14"/>
      <x:c r="E69" s="14"/>
      <x:c r="F69" s="14"/>
      <x:c r="G69" s="121"/>
      <x:c r="H69" s="122"/>
    </x:row>
    <x:row r="70">
      <x:c r="A70" s="13"/>
      <x:c r="B70" s="14"/>
      <x:c r="C70" s="14"/>
      <x:c r="D70" s="14"/>
      <x:c r="E70" s="14"/>
      <x:c r="F70" s="14"/>
      <x:c r="G70" s="121"/>
      <x:c r="H70" s="122"/>
    </x:row>
    <x:row r="71">
      <x:c r="A71" s="13"/>
      <x:c r="B71" s="14"/>
      <x:c r="C71" s="14"/>
      <x:c r="D71" s="14"/>
      <x:c r="E71" s="14"/>
      <x:c r="F71" s="14"/>
      <x:c r="G71" s="121"/>
      <x:c r="H71" s="122"/>
    </x:row>
    <x:row r="72">
      <x:c r="A72" s="13"/>
      <x:c r="B72" s="14"/>
      <x:c r="C72" s="14"/>
      <x:c r="D72" s="14"/>
      <x:c r="E72" s="14"/>
      <x:c r="F72" s="14"/>
      <x:c r="G72" s="121"/>
      <x:c r="H72" s="122"/>
    </x:row>
    <x:row r="73">
      <x:c r="A73" s="13"/>
      <x:c r="B73" s="14"/>
      <x:c r="C73" s="14"/>
      <x:c r="D73" s="14"/>
      <x:c r="E73" s="14"/>
      <x:c r="F73" s="14"/>
      <x:c r="G73" s="121"/>
      <x:c r="H73" s="122"/>
    </x:row>
    <x:row r="74">
      <x:c r="A74" s="13"/>
      <x:c r="B74" s="14"/>
      <x:c r="C74" s="14"/>
      <x:c r="D74" s="14"/>
      <x:c r="E74" s="14"/>
      <x:c r="F74" s="14"/>
      <x:c r="G74" s="121"/>
      <x:c r="H74" s="122"/>
    </x:row>
    <x:row r="75">
      <x:c r="A75" s="13"/>
      <x:c r="B75" s="14"/>
      <x:c r="C75" s="14"/>
      <x:c r="D75" s="14"/>
      <x:c r="E75" s="14"/>
      <x:c r="F75" s="14"/>
      <x:c r="G75" s="121"/>
      <x:c r="H75" s="122"/>
    </x:row>
    <x:row r="76">
      <x:c r="A76" s="13"/>
      <x:c r="B76" s="14"/>
      <x:c r="C76" s="14"/>
      <x:c r="D76" s="14"/>
      <x:c r="E76" s="14"/>
      <x:c r="F76" s="14"/>
      <x:c r="G76" s="121"/>
      <x:c r="H76" s="122"/>
    </x:row>
    <x:row r="77">
      <x:c r="A77" s="13"/>
      <x:c r="B77" s="14"/>
      <x:c r="C77" s="14"/>
      <x:c r="D77" s="14"/>
      <x:c r="E77" s="14"/>
      <x:c r="F77" s="14"/>
      <x:c r="G77" s="121"/>
      <x:c r="H77" s="122"/>
    </x:row>
    <x:row r="78">
      <x:c r="A78" s="13"/>
      <x:c r="B78" s="14"/>
      <x:c r="C78" s="14"/>
      <x:c r="D78" s="14"/>
      <x:c r="E78" s="14"/>
      <x:c r="F78" s="14"/>
      <x:c r="G78" s="121"/>
      <x:c r="H78" s="122"/>
    </x:row>
    <x:row r="79">
      <x:c r="A79" s="13"/>
      <x:c r="B79" s="14"/>
      <x:c r="C79" s="14"/>
      <x:c r="D79" s="14"/>
      <x:c r="E79" s="14"/>
      <x:c r="F79" s="14"/>
      <x:c r="G79" s="121"/>
      <x:c r="H79" s="122"/>
    </x:row>
    <x:row r="80">
      <x:c r="A80" s="13"/>
      <x:c r="B80" s="14"/>
      <x:c r="C80" s="14"/>
      <x:c r="D80" s="14"/>
      <x:c r="E80" s="14"/>
      <x:c r="F80" s="14"/>
      <x:c r="G80" s="121"/>
      <x:c r="H80" s="122"/>
    </x:row>
    <x:row r="81">
      <x:c r="A81" s="13"/>
      <x:c r="B81" s="14"/>
      <x:c r="C81" s="14"/>
      <x:c r="D81" s="14"/>
      <x:c r="E81" s="14"/>
      <x:c r="F81" s="14"/>
      <x:c r="G81" s="121"/>
      <x:c r="H81" s="122"/>
    </x:row>
    <x:row r="82">
      <x:c r="A82" s="13"/>
      <x:c r="B82" s="14"/>
      <x:c r="C82" s="14"/>
      <x:c r="D82" s="14"/>
      <x:c r="E82" s="14"/>
      <x:c r="F82" s="14"/>
      <x:c r="G82" s="121"/>
      <x:c r="H82" s="122"/>
    </x:row>
    <x:row r="83">
      <x:c r="A83" s="13"/>
      <x:c r="B83" s="14"/>
      <x:c r="C83" s="14"/>
      <x:c r="D83" s="14"/>
      <x:c r="E83" s="14"/>
      <x:c r="F83" s="14"/>
      <x:c r="G83" s="121"/>
      <x:c r="H83" s="122"/>
    </x:row>
    <x:row r="84">
      <x:c r="A84" s="13"/>
      <x:c r="B84" s="14"/>
      <x:c r="C84" s="14"/>
      <x:c r="D84" s="14"/>
      <x:c r="E84" s="14"/>
      <x:c r="F84" s="14"/>
      <x:c r="G84" s="121"/>
      <x:c r="H84" s="122"/>
    </x:row>
    <x:row r="85">
      <x:c r="A85" s="13"/>
      <x:c r="B85" s="14"/>
      <x:c r="C85" s="14"/>
      <x:c r="D85" s="14"/>
      <x:c r="E85" s="14"/>
      <x:c r="F85" s="14"/>
      <x:c r="G85" s="121"/>
      <x:c r="H85" s="122"/>
    </x:row>
    <x:row r="86">
      <x:c r="A86" s="13"/>
      <x:c r="B86" s="14"/>
      <x:c r="C86" s="14"/>
      <x:c r="D86" s="14"/>
      <x:c r="E86" s="14"/>
      <x:c r="F86" s="14"/>
      <x:c r="G86" s="121"/>
      <x:c r="H86" s="122"/>
    </x:row>
    <x:row r="87">
      <x:c r="A87" s="13"/>
      <x:c r="B87" s="14"/>
      <x:c r="C87" s="14"/>
      <x:c r="D87" s="14"/>
      <x:c r="E87" s="14"/>
      <x:c r="F87" s="14"/>
      <x:c r="G87" s="121"/>
      <x:c r="H87" s="122"/>
    </x:row>
    <x:row r="88">
      <x:c r="A88" s="13"/>
      <x:c r="B88" s="14"/>
      <x:c r="C88" s="14"/>
      <x:c r="D88" s="14"/>
      <x:c r="E88" s="14"/>
      <x:c r="F88" s="14"/>
      <x:c r="G88" s="121"/>
      <x:c r="H88" s="122"/>
    </x:row>
    <x:row r="89">
      <x:c r="A89" s="13"/>
      <x:c r="B89" s="14"/>
      <x:c r="C89" s="14"/>
      <x:c r="D89" s="14"/>
      <x:c r="E89" s="14"/>
      <x:c r="F89" s="14"/>
      <x:c r="G89" s="121"/>
      <x:c r="H89" s="122"/>
    </x:row>
    <x:row r="90">
      <x:c r="A90" s="13"/>
      <x:c r="B90" s="14"/>
      <x:c r="C90" s="14"/>
      <x:c r="D90" s="14"/>
      <x:c r="E90" s="14"/>
      <x:c r="F90" s="14"/>
      <x:c r="G90" s="121"/>
      <x:c r="H90" s="122"/>
    </x:row>
    <x:row r="91">
      <x:c r="A91" s="13"/>
      <x:c r="B91" s="14"/>
      <x:c r="C91" s="14"/>
      <x:c r="D91" s="14"/>
      <x:c r="E91" s="14"/>
      <x:c r="F91" s="14"/>
      <x:c r="G91" s="121"/>
      <x:c r="H91" s="122"/>
    </x:row>
    <x:row r="92">
      <x:c r="A92" s="13"/>
      <x:c r="B92" s="14"/>
      <x:c r="C92" s="14"/>
      <x:c r="D92" s="14"/>
      <x:c r="E92" s="14"/>
      <x:c r="F92" s="14"/>
      <x:c r="G92" s="121"/>
      <x:c r="H92" s="122"/>
    </x:row>
    <x:row r="93">
      <x:c r="A93" s="13"/>
      <x:c r="B93" s="14"/>
      <x:c r="C93" s="14"/>
      <x:c r="D93" s="14"/>
      <x:c r="E93" s="14"/>
      <x:c r="F93" s="14"/>
      <x:c r="G93" s="121"/>
      <x:c r="H93" s="122"/>
    </x:row>
    <x:row r="94">
      <x:c r="A94" s="13"/>
      <x:c r="B94" s="14"/>
      <x:c r="C94" s="14"/>
      <x:c r="D94" s="14"/>
      <x:c r="E94" s="14"/>
      <x:c r="F94" s="14"/>
      <x:c r="G94" s="121"/>
      <x:c r="H94" s="122"/>
    </x:row>
    <x:row r="95">
      <x:c r="A95" s="16"/>
      <x:c r="B95" s="17"/>
      <x:c r="C95" s="17"/>
      <x:c r="D95" s="17"/>
      <x:c r="E95" s="17"/>
      <x:c r="F95" s="17"/>
      <x:c r="G95" s="127"/>
      <x:c r="H95" s="12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34" hidden="0" customWidth="1"/>
    <x:col min="8" max="8" width="48" hidden="0" customWidth="1"/>
  </x:cols>
  <x:sheetData>
    <x:row r="1">
      <x:c r="A1" s="107" t="str">
        <x:v>02 Detalle de ingresos</x:v>
      </x:c>
      <x:c r="B1" s="108" t="str"/>
      <x:c r="C1" s="108" t="str"/>
      <x:c r="D1" s="108" t="str"/>
      <x:c r="E1" s="108" t="str"/>
      <x:c r="F1" s="109" t="str"/>
      <x:c r="G1" s="109" t="str"/>
      <x:c r="H1" s="110" t="str"/>
    </x:row>
    <x:row r="2">
      <x:c r="A2" s="111" t="str">
        <x:v>Ingresos por concepto, driver y formula. EUR M salvo counts, m2 y tarifas.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16" t="str">
        <x:v>Digitalizacion de partners</x:v>
      </x:c>
      <x:c r="B4" s="117" t="str"/>
      <x:c r="C4" s="117" t="str"/>
      <x:c r="D4" s="117" t="str"/>
      <x:c r="E4" s="117" t="str"/>
      <x:c r="F4" s="117" t="str"/>
      <x:c r="G4" s="117" t="str"/>
      <x:c r="H4" s="118" t="str"/>
    </x:row>
    <x:row r="5">
      <x:c r="A5" s="114" t="str">
        <x:v>Concepto</x:v>
      </x:c>
      <x:c r="B5" s="115" t="str">
        <x:v>2026/27</x:v>
      </x:c>
      <x:c r="C5" s="115" t="str">
        <x:v>2028</x:v>
      </x:c>
      <x:c r="D5" s="115" t="str">
        <x:v>2029</x:v>
      </x:c>
      <x:c r="E5" s="115" t="str">
        <x:v>2030</x:v>
      </x:c>
      <x:c r="F5" s="115" t="str">
        <x:v>Tarifa / driver</x:v>
      </x:c>
      <x:c r="G5" s="115" t="str">
        <x:v>Notas</x:v>
      </x:c>
      <x:c r="H5" s="129" t="str">
        <x:v>Fuente</x:v>
      </x:c>
    </x:row>
    <x:row r="6">
      <x:c r="A6" s="13" t="str">
        <x:v>Nuevos fabricantes - Small</x:v>
      </x:c>
      <x:c r="B6" s="124" t="n">
        <x:v>1</x:v>
      </x:c>
      <x:c r="C6" s="124" t="n">
        <x:v>0</x:v>
      </x:c>
      <x:c r="D6" s="124" t="n">
        <x:v>1</x:v>
      </x:c>
      <x:c r="E6" s="124" t="n">
        <x:v>0</x:v>
      </x:c>
      <x:c r="F6" s="14" t="str">
        <x:v>50.000 EUR</x:v>
      </x:c>
      <x:c r="G6" s="14" t="str">
        <x:v>Paquete cerrado hasta 5.000 m2</x:v>
      </x:c>
      <x:c r="H6" s="15" t="str">
        <x:v>Economics de partners</x:v>
      </x:c>
    </x:row>
    <x:row r="7">
      <x:c r="A7" s="13" t="str">
        <x:v>Nuevos fabricantes - Growth</x:v>
      </x:c>
      <x:c r="B7" s="124" t="n">
        <x:v>1</x:v>
      </x:c>
      <x:c r="C7" s="124" t="n">
        <x:v>1</x:v>
      </x:c>
      <x:c r="D7" s="124" t="n">
        <x:v>0</x:v>
      </x:c>
      <x:c r="E7" s="124" t="n">
        <x:v>0</x:v>
      </x:c>
      <x:c r="F7" s="14" t="str">
        <x:v>120.000 EUR</x:v>
      </x:c>
      <x:c r="G7" s="14" t="str">
        <x:v>Paquete cerrado growth</x:v>
      </x:c>
      <x:c r="H7" s="15" t="str">
        <x:v>Economics de partners</x:v>
      </x:c>
    </x:row>
    <x:row r="8">
      <x:c r="A8" s="13" t="str">
        <x:v>Nuevos fabricantes - Scale</x:v>
      </x:c>
      <x:c r="B8" s="124" t="n">
        <x:v>0</x:v>
      </x:c>
      <x:c r="C8" s="124" t="n">
        <x:v>1</x:v>
      </x:c>
      <x:c r="D8" s="124" t="n">
        <x:v>1</x:v>
      </x:c>
      <x:c r="E8" s="124" t="n">
        <x:v>2</x:v>
      </x:c>
      <x:c r="F8" s="14" t="str">
        <x:v>250.000 EUR</x:v>
      </x:c>
      <x:c r="G8" s="14" t="str">
        <x:v>Paquete cerrado scale</x:v>
      </x:c>
      <x:c r="H8" s="15" t="str">
        <x:v>Economics de partners</x:v>
      </x:c>
    </x:row>
    <x:row r="9">
      <x:c r="A9" s="13" t="str">
        <x:v>Nuevos fabricantes - Enterprise</x:v>
      </x:c>
      <x:c r="B9" s="124" t="n">
        <x:v>0</x:v>
      </x:c>
      <x:c r="C9" s="124" t="n">
        <x:v>0</x:v>
      </x:c>
      <x:c r="D9" s="124" t="n">
        <x:v>1</x:v>
      </x:c>
      <x:c r="E9" s="124" t="n">
        <x:v>1</x:v>
      </x:c>
      <x:c r="F9" s="14" t="str">
        <x:v>400.000 EUR</x:v>
      </x:c>
      <x:c r="G9" s="14" t="str">
        <x:v>Desde 400k</x:v>
      </x:c>
      <x:c r="H9" s="15" t="str">
        <x:v>Economics de partners</x:v>
      </x:c>
    </x:row>
    <x:row r="10">
      <x:c r="A10" s="130" t="str">
        <x:v>Revenue digitalizacion fabricante</x:v>
      </x:c>
      <x:c r="B10" s="29" t="n">
        <x:f>B6*50000/1000000+B7*120000/1000000+B8*250000/1000000+B9*400000/1000000</x:f>
        <x:v>0.16999999999999998</x:v>
      </x:c>
      <x:c r="C10" s="29" t="n">
        <x:f>C6*50000/1000000+C7*120000/1000000+C8*250000/1000000+C9*400000/1000000</x:f>
        <x:v>0.37</x:v>
      </x:c>
      <x:c r="D10" s="29" t="n">
        <x:f>D6*50000/1000000+D7*120000/1000000+D8*250000/1000000+D9*400000/1000000</x:f>
        <x:v>0.7</x:v>
      </x:c>
      <x:c r="E10" s="29" t="n">
        <x:f>E6*50000/1000000+E7*120000/1000000+E8*250000/1000000+E9*400000/1000000</x:f>
        <x:v>0.9</x:v>
      </x:c>
      <x:c r="F10" s="29" t="str">
        <x:v>SUMPRODUCT tiers</x:v>
      </x:c>
      <x:c r="G10" s="29" t="str">
        <x:v>EUR M</x:v>
      </x:c>
      <x:c r="H10" s="30" t="str">
        <x:v>Formula</x:v>
      </x:c>
    </x:row>
    <x:row r="11">
      <x:c r="A11" s="13" t="str">
        <x:v>Nuevos montadores - Starter</x:v>
      </x:c>
      <x:c r="B11" s="124" t="n">
        <x:v>0</x:v>
      </x:c>
      <x:c r="C11" s="124" t="n">
        <x:v>2</x:v>
      </x:c>
      <x:c r="D11" s="124" t="n">
        <x:v>1</x:v>
      </x:c>
      <x:c r="E11" s="124" t="n">
        <x:v>1</x:v>
      </x:c>
      <x:c r="F11" s="14" t="str">
        <x:v>35.000 EUR</x:v>
      </x:c>
      <x:c r="G11" s="14" t="str">
        <x:v>Hasta 2 cuadrillas</x:v>
      </x:c>
      <x:c r="H11" s="15" t="str">
        <x:v>Economics de partners</x:v>
      </x:c>
    </x:row>
    <x:row r="12">
      <x:c r="A12" s="13" t="str">
        <x:v>Nuevos montadores - Scale</x:v>
      </x:c>
      <x:c r="B12" s="124" t="n">
        <x:v>1</x:v>
      </x:c>
      <x:c r="C12" s="124" t="n">
        <x:v>1</x:v>
      </x:c>
      <x:c r="D12" s="124" t="n">
        <x:v>1</x:v>
      </x:c>
      <x:c r="E12" s="124" t="n">
        <x:v>1</x:v>
      </x:c>
      <x:c r="F12" s="14" t="str">
        <x:v>75.000 EUR</x:v>
      </x:c>
      <x:c r="G12" s="14" t="str">
        <x:v>3 a 6 cuadrillas</x:v>
      </x:c>
      <x:c r="H12" s="15" t="str">
        <x:v>Economics de partners</x:v>
      </x:c>
    </x:row>
    <x:row r="13">
      <x:c r="A13" s="13" t="str">
        <x:v>Nuevos montadores - Enterprise</x:v>
      </x:c>
      <x:c r="B13" s="124" t="n">
        <x:v>0</x:v>
      </x:c>
      <x:c r="C13" s="124" t="n">
        <x:v>1</x:v>
      </x:c>
      <x:c r="D13" s="124" t="n">
        <x:v>1</x:v>
      </x:c>
      <x:c r="E13" s="124" t="n">
        <x:v>1</x:v>
      </x:c>
      <x:c r="F13" s="14" t="str">
        <x:v>12.000 EUR/cuadrilla, min. 75k</x:v>
      </x:c>
      <x:c r="G13" s="14" t="str">
        <x:v>Mas de 6 cuadrillas</x:v>
      </x:c>
      <x:c r="H13" s="15" t="str">
        <x:v>Economics de partners</x:v>
      </x:c>
    </x:row>
    <x:row r="14">
      <x:c r="A14" s="13" t="str">
        <x:v>Cuadrillas medias Enterprise</x:v>
      </x:c>
      <x:c r="B14" s="124" t="n">
        <x:v>6</x:v>
      </x:c>
      <x:c r="C14" s="124" t="n">
        <x:v>8</x:v>
      </x:c>
      <x:c r="D14" s="124" t="n">
        <x:v>10</x:v>
      </x:c>
      <x:c r="E14" s="124" t="n">
        <x:v>12</x:v>
      </x:c>
      <x:c r="F14" s="14" t="str">
        <x:v>Input</x:v>
      </x:c>
      <x:c r="G14" s="14" t="str">
        <x:v>Driver para enterprise</x:v>
      </x:c>
      <x:c r="H14" s="15" t="str">
        <x:v>Economics de partners</x:v>
      </x:c>
    </x:row>
    <x:row r="15">
      <x:c r="A15" s="130" t="str">
        <x:v>Revenue digitalizacion montaje</x:v>
      </x:c>
      <x:c r="B15" s="29" t="n">
        <x:f>B11*35000/1000000+B12*75000/1000000+B13*MAX(75000,B14*12000)/1000000</x:f>
        <x:v>0.075</x:v>
      </x:c>
      <x:c r="C15" s="29" t="n">
        <x:f>C11*35000/1000000+C12*75000/1000000+C13*MAX(75000,C14*12000)/1000000</x:f>
        <x:v>0.24100000000000002</x:v>
      </x:c>
      <x:c r="D15" s="29" t="n">
        <x:f>D11*35000/1000000+D12*75000/1000000+D13*MAX(75000,D14*12000)/1000000</x:f>
        <x:v>0.22999999999999998</x:v>
      </x:c>
      <x:c r="E15" s="29" t="n">
        <x:f>E11*35000/1000000+E12*75000/1000000+E13*MAX(75000,E14*12000)/1000000</x:f>
        <x:v>0.254</x:v>
      </x:c>
      <x:c r="F15" s="29" t="str">
        <x:v>SUM tiers</x:v>
      </x:c>
      <x:c r="G15" s="29" t="str">
        <x:v>EUR M</x:v>
      </x:c>
      <x:c r="H15" s="30" t="str">
        <x:v>Formula</x:v>
      </x:c>
    </x:row>
    <x:row r="16">
      <x:c r="A16" s="13"/>
      <x:c r="B16" s="14"/>
      <x:c r="C16" s="14"/>
      <x:c r="D16" s="14"/>
      <x:c r="E16" s="14"/>
      <x:c r="F16" s="14"/>
      <x:c r="G16" s="14"/>
      <x:c r="H16" s="15"/>
    </x:row>
    <x:row r="17">
      <x:c r="A17" s="13"/>
      <x:c r="B17" s="14"/>
      <x:c r="C17" s="14"/>
      <x:c r="D17" s="14"/>
      <x:c r="E17" s="14"/>
      <x:c r="F17" s="14"/>
      <x:c r="G17" s="14"/>
      <x:c r="H17" s="15"/>
    </x:row>
    <x:row r="18">
      <x:c r="A18" s="116" t="str">
        <x:v>Usage-Based Construction Asset OS</x:v>
      </x:c>
      <x:c r="B18" s="117" t="str"/>
      <x:c r="C18" s="117" t="str"/>
      <x:c r="D18" s="117" t="str"/>
      <x:c r="E18" s="117" t="str"/>
      <x:c r="F18" s="117" t="str"/>
      <x:c r="G18" s="117" t="str"/>
      <x:c r="H18" s="118" t="str"/>
    </x:row>
    <x:row r="19">
      <x:c r="A19" s="114" t="str">
        <x:v>Concepto</x:v>
      </x:c>
      <x:c r="B19" s="115" t="str">
        <x:v>2026/27</x:v>
      </x:c>
      <x:c r="C19" s="115" t="str">
        <x:v>2028</x:v>
      </x:c>
      <x:c r="D19" s="115" t="str">
        <x:v>2029</x:v>
      </x:c>
      <x:c r="E19" s="115" t="str">
        <x:v>2030</x:v>
      </x:c>
      <x:c r="F19" s="115" t="str">
        <x:v>Driver</x:v>
      </x:c>
      <x:c r="G19" s="115" t="str">
        <x:v>Formula</x:v>
      </x:c>
      <x:c r="H19" s="129" t="str">
        <x:v>Notas</x:v>
      </x:c>
    </x:row>
    <x:row r="20">
      <x:c r="A20" s="13" t="str">
        <x:v>Digitalizacion fabricante</x:v>
      </x:c>
      <x:c r="B20" s="131" t="n">
        <x:f>'02_Detalle_Ingresos'!B10</x:f>
        <x:v>0.16999999999999998</x:v>
      </x:c>
      <x:c r="C20" s="131" t="n">
        <x:f>'02_Detalle_Ingresos'!C10</x:f>
        <x:v>0.37</x:v>
      </x:c>
      <x:c r="D20" s="131" t="n">
        <x:f>'02_Detalle_Ingresos'!D10</x:f>
        <x:v>0.7</x:v>
      </x:c>
      <x:c r="E20" s="131" t="n">
        <x:f>'02_Detalle_Ingresos'!E10</x:f>
        <x:v>0.9</x:v>
      </x:c>
      <x:c r="F20" s="14" t="str">
        <x:v>Partner tiers</x:v>
      </x:c>
      <x:c r="G20" s="14" t="str">
        <x:v>Counts x tarifa / 1M</x:v>
      </x:c>
      <x:c r="H20" s="15" t="str">
        <x:v>Paquete de activacion de fabricante</x:v>
      </x:c>
    </x:row>
    <x:row r="21">
      <x:c r="A21" s="13" t="str">
        <x:v>Digitalizacion montaje</x:v>
      </x:c>
      <x:c r="B21" s="131" t="n">
        <x:f>'02_Detalle_Ingresos'!B15</x:f>
        <x:v>0.075</x:v>
      </x:c>
      <x:c r="C21" s="131" t="n">
        <x:f>'02_Detalle_Ingresos'!C15</x:f>
        <x:v>0.24100000000000002</x:v>
      </x:c>
      <x:c r="D21" s="131" t="n">
        <x:f>'02_Detalle_Ingresos'!D15</x:f>
        <x:v>0.22999999999999998</x:v>
      </x:c>
      <x:c r="E21" s="131" t="n">
        <x:f>'02_Detalle_Ingresos'!E15</x:f>
        <x:v>0.254</x:v>
      </x:c>
      <x:c r="F21" s="14" t="str">
        <x:v>Crew tiers</x:v>
      </x:c>
      <x:c r="G21" s="14" t="str">
        <x:v>Counts x tarifa / 1M</x:v>
      </x:c>
      <x:c r="H21" s="15" t="str">
        <x:v>Paquete de activacion de montadores</x:v>
      </x:c>
    </x:row>
    <x:row r="22">
      <x:c r="A22" s="13" t="str">
        <x:v>Fee de Red Fabricante</x:v>
      </x:c>
      <x:c r="B22" s="131" t="n">
        <x:f>'01_Supuestos'!B8*'01_Supuestos'!B14/1000000</x:f>
        <x:v>0.75</x:v>
      </x:c>
      <x:c r="C22" s="131" t="n">
        <x:f>'01_Supuestos'!C8*'01_Supuestos'!C14/1000000</x:f>
        <x:v>2.900833333333333</x:v>
      </x:c>
      <x:c r="D22" s="131" t="n">
        <x:f>'01_Supuestos'!D8*'01_Supuestos'!D14/1000000</x:f>
        <x:v>5.038333333333333</x:v>
      </x:c>
      <x:c r="E22" s="131" t="n">
        <x:f>'01_Supuestos'!E8*'01_Supuestos'!E14/1000000</x:f>
        <x:v>7.588333333333334</x:v>
      </x:c>
      <x:c r="F22" s="14" t="str">
        <x:v>m2 emitidos</x:v>
      </x:c>
      <x:c r="G22" s="14" t="str">
        <x:v>m2 x fee fabricante</x:v>
      </x:c>
      <x:c r="H22" s="15" t="str">
        <x:v>Trigger: m2 fabricados verificados</x:v>
      </x:c>
    </x:row>
    <x:row r="23">
      <x:c r="A23" s="13" t="str">
        <x:v>Fee de Red Montaje</x:v>
      </x:c>
      <x:c r="B23" s="131" t="n">
        <x:f>'01_Supuestos'!B8*'01_Supuestos'!B15*'01_Supuestos'!B16/1000000</x:f>
        <x:v>0.6375</x:v>
      </x:c>
      <x:c r="C23" s="131" t="n">
        <x:f>'01_Supuestos'!C8*'01_Supuestos'!C15*'01_Supuestos'!C16/1000000</x:f>
        <x:v>2.61075</x:v>
      </x:c>
      <x:c r="D23" s="131" t="n">
        <x:f>'01_Supuestos'!D8*'01_Supuestos'!D15*'01_Supuestos'!D16/1000000</x:f>
        <x:v>4.68565</x:v>
      </x:c>
      <x:c r="E23" s="131" t="n">
        <x:f>'01_Supuestos'!E8*'01_Supuestos'!E15*'01_Supuestos'!E16/1000000</x:f>
        <x:v>7.208916666666667</x:v>
      </x:c>
      <x:c r="F23" s="14" t="str">
        <x:v>m2 emitidos x cobertura</x:v>
      </x:c>
      <x:c r="G23" s="14" t="str">
        <x:v>m2 x fee x cobertura</x:v>
      </x:c>
      <x:c r="H23" s="15" t="str">
        <x:v>Trigger: m2 instalados/verificados</x:v>
      </x:c>
    </x:row>
    <x:row r="24">
      <x:c r="A24" s="13" t="str">
        <x:v>Designer</x:v>
      </x:c>
      <x:c r="B24" s="131" t="n">
        <x:f>'01_Supuestos'!B8*'01_Supuestos'!B17*'01_Supuestos'!B18/1000000</x:f>
        <x:v>0.648</x:v>
      </x:c>
      <x:c r="C24" s="131" t="n">
        <x:f>'01_Supuestos'!C8*'01_Supuestos'!C17*'01_Supuestos'!C18/1000000</x:f>
        <x:v>2.896192</x:v>
      </x:c>
      <x:c r="D24" s="131" t="n">
        <x:f>'01_Supuestos'!D8*'01_Supuestos'!D17*'01_Supuestos'!D18/1000000</x:f>
        <x:v>5.453491999999999</x:v>
      </x:c>
      <x:c r="E24" s="131" t="n">
        <x:f>'01_Supuestos'!E8*'01_Supuestos'!E17*'01_Supuestos'!E18/1000000</x:f>
        <x:v>9.136353333333334</x:v>
      </x:c>
      <x:c r="F24" s="14" t="str">
        <x:v>m2 emitidos</x:v>
      </x:c>
      <x:c r="G24" s="14" t="str">
        <x:v>m2 x precio x adopcion</x:v>
      </x:c>
      <x:c r="H24" s="15" t="str">
        <x:v>Diseno/generativo/API</x:v>
      </x:c>
    </x:row>
    <x:row r="25">
      <x:c r="A25" s="13" t="str">
        <x:v>Manager</x:v>
      </x:c>
      <x:c r="B25" s="131" t="n">
        <x:f>'01_Supuestos'!B8*'01_Supuestos'!B19*'01_Supuestos'!B20/1000000</x:f>
        <x:v>0.6396</x:v>
      </x:c>
      <x:c r="C25" s="131" t="n">
        <x:f>'01_Supuestos'!C8*'01_Supuestos'!C19*'01_Supuestos'!C20/1000000</x:f>
        <x:v>2.756952</x:v>
      </x:c>
      <x:c r="D25" s="131" t="n">
        <x:f>'01_Supuestos'!D8*'01_Supuestos'!D19*'01_Supuestos'!D20/1000000</x:f>
        <x:v>5.191498666666667</x:v>
      </x:c>
      <x:c r="E25" s="131" t="n">
        <x:f>'01_Supuestos'!E8*'01_Supuestos'!E19*'01_Supuestos'!E20/1000000</x:f>
        <x:v>8.6507</x:v>
      </x:c>
      <x:c r="F25" s="14" t="str">
        <x:v>m2 emitidos</x:v>
      </x:c>
      <x:c r="G25" s="14" t="str">
        <x:v>m2 x precio x adopcion</x:v>
      </x:c>
      <x:c r="H25" s="15" t="str">
        <x:v>Manager y project room</x:v>
      </x:c>
    </x:row>
    <x:row r="26">
      <x:c r="A26" s="13" t="str">
        <x:v>Asset Activation</x:v>
      </x:c>
      <x:c r="B26" s="131" t="n">
        <x:f>'01_Supuestos'!B8*'01_Supuestos'!B21*'01_Supuestos'!B22/1000000</x:f>
        <x:v>1.32</x:v>
      </x:c>
      <x:c r="C26" s="131" t="n">
        <x:f>'01_Supuestos'!C8*'01_Supuestos'!C21*'01_Supuestos'!C22/1000000</x:f>
        <x:v>7.165058333333332</x:v>
      </x:c>
      <x:c r="D26" s="131" t="n">
        <x:f>'01_Supuestos'!D8*'01_Supuestos'!D21*'01_Supuestos'!D22/1000000</x:f>
        <x:v>13.442273333333334</x:v>
      </x:c>
      <x:c r="E26" s="131" t="n">
        <x:f>'01_Supuestos'!E8*'01_Supuestos'!E21*'01_Supuestos'!E22/1000000</x:f>
        <x:v>24.282666666666668</x:v>
      </x:c>
      <x:c r="F26" s="14" t="str">
        <x:v>m2 emitidos</x:v>
      </x:c>
      <x:c r="G26" s="14" t="str">
        <x:v>m2 x precio x completion</x:v>
      </x:c>
      <x:c r="H26" s="15" t="str">
        <x:v>Activacion inicial del activo</x:v>
      </x:c>
    </x:row>
    <x:row r="27">
      <x:c r="A27" s="13" t="str">
        <x:v>POI Evidence Pack</x:v>
      </x:c>
      <x:c r="B27" s="131" t="n">
        <x:f>'01_Supuestos'!B8*'01_Supuestos'!B23*(1+'01_Supuestos'!B24)*'01_Supuestos'!B25/1000000</x:f>
        <x:v>0.95472</x:v>
      </x:c>
      <x:c r="C27" s="131" t="n">
        <x:f>'01_Supuestos'!C8*'01_Supuestos'!C23*(1+'01_Supuestos'!C24)*'01_Supuestos'!C25/1000000</x:f>
        <x:v>5.352037499999999</x:v>
      </x:c>
      <x:c r="D27" s="131" t="n">
        <x:f>'01_Supuestos'!D8*'01_Supuestos'!D23*(1+'01_Supuestos'!D24)*'01_Supuestos'!D25/1000000</x:f>
        <x:v>11.12464</x:v>
      </x:c>
      <x:c r="E27" s="131" t="n">
        <x:f>'01_Supuestos'!E8*'01_Supuestos'!E23*(1+'01_Supuestos'!E24)*'01_Supuestos'!E25/1000000</x:f>
        <x:v>19.82452083333333</x:v>
      </x:c>
      <x:c r="F27" s="14" t="str">
        <x:v>m2 emitidos</x:v>
      </x:c>
      <x:c r="G27" s="14" t="str">
        <x:v>m2 x precio x uplift x completion</x:v>
      </x:c>
      <x:c r="H27" s="15" t="str">
        <x:v>Prueba de instalacion</x:v>
      </x:c>
    </x:row>
    <x:row r="28">
      <x:c r="A28" s="13" t="str">
        <x:v>DPP / Carpeta Madre</x:v>
      </x:c>
      <x:c r="B28" s="131" t="n">
        <x:f>'01_Supuestos'!B8*'01_Supuestos'!B26*(1+'01_Supuestos'!B27)*'01_Supuestos'!B28/1000000</x:f>
        <x:v>0.9166080000000001</x:v>
      </x:c>
      <x:c r="C28" s="131" t="n">
        <x:f>'01_Supuestos'!C8*'01_Supuestos'!C26*(1+'01_Supuestos'!C27)*'01_Supuestos'!C28/1000000</x:f>
        <x:v>5.332195799999999</x:v>
      </x:c>
      <x:c r="D28" s="131" t="n">
        <x:f>'01_Supuestos'!D8*'01_Supuestos'!D26*(1+'01_Supuestos'!D27)*'01_Supuestos'!D28/1000000</x:f>
        <x:v>12.162939733333333</x:v>
      </x:c>
      <x:c r="E28" s="131" t="n">
        <x:f>'01_Supuestos'!E8*'01_Supuestos'!E26*(1+'01_Supuestos'!E27)*'01_Supuestos'!E28/1000000</x:f>
        <x:v>23.038179999999997</x:v>
      </x:c>
      <x:c r="F28" s="14" t="str">
        <x:v>m2 emitidos</x:v>
      </x:c>
      <x:c r="G28" s="14" t="str">
        <x:v>m2 x precio x uplift x completion</x:v>
      </x:c>
      <x:c r="H28" s="15" t="str">
        <x:v>Pasaporte/dossier vivo</x:v>
      </x:c>
    </x:row>
    <x:row r="29">
      <x:c r="A29" s="13" t="str">
        <x:v>Network Maintenance</x:v>
      </x:c>
      <x:c r="B29" s="131" t="n">
        <x:f>'01_Supuestos'!B9*'01_Supuestos'!B29*(1+'01_Supuestos'!B30)*'01_Supuestos'!B31/1000000</x:f>
        <x:v>0.1482</x:v>
      </x:c>
      <x:c r="C29" s="131" t="n">
        <x:f>'01_Supuestos'!C9*'01_Supuestos'!C29*(1+'01_Supuestos'!C30)*'01_Supuestos'!C31/1000000</x:f>
        <x:v>1.4352156</x:v>
      </x:c>
      <x:c r="D29" s="131" t="n">
        <x:f>'01_Supuestos'!D9*'01_Supuestos'!D29*(1+'01_Supuestos'!D30)*'01_Supuestos'!D31/1000000</x:f>
        <x:v>4.0821705</x:v>
      </x:c>
      <x:c r="E29" s="131" t="n">
        <x:f>'01_Supuestos'!E9*'01_Supuestos'!E29*(1+'01_Supuestos'!E30)*'01_Supuestos'!E31/1000000</x:f>
        <x:v>12.579252</x:v>
      </x:c>
      <x:c r="F29" s="14" t="str">
        <x:v>Stock vivo</x:v>
      </x:c>
      <x:c r="G29" s="14" t="str">
        <x:v>stock x precio x uplift x conversion</x:v>
      </x:c>
      <x:c r="H29" s="15" t="str">
        <x:v>Recurrencia sobre base instalada</x:v>
      </x:c>
    </x:row>
    <x:row r="30">
      <x:c r="A30" s="13" t="str">
        <x:v>Data Layers</x:v>
      </x:c>
      <x:c r="B30" s="131" t="n">
        <x:f>'01_Supuestos'!B9*'01_Supuestos'!B32*(1+'01_Supuestos'!B33)*'01_Supuestos'!B34/1000000</x:f>
        <x:v>0.0864</x:v>
      </x:c>
      <x:c r="C30" s="131" t="n">
        <x:f>'01_Supuestos'!C9*'01_Supuestos'!C32*(1+'01_Supuestos'!C33)*'01_Supuestos'!C34/1000000</x:f>
        <x:v>0.8433425</x:v>
      </x:c>
      <x:c r="D30" s="131" t="n">
        <x:f>'01_Supuestos'!D9*'01_Supuestos'!D32*(1+'01_Supuestos'!D33)*'01_Supuestos'!D34/1000000</x:f>
        <x:v>3.7954279999999994</x:v>
      </x:c>
      <x:c r="E30" s="131" t="n">
        <x:f>'01_Supuestos'!E9*'01_Supuestos'!E32*(1+'01_Supuestos'!E33)*'01_Supuestos'!E34/1000000</x:f>
        <x:v>11.8838772</x:v>
      </x:c>
      <x:c r="F30" s="14" t="str">
        <x:v>Stock vivo</x:v>
      </x:c>
      <x:c r="G30" s="14" t="str">
        <x:v>stock x precio x uplift x adopcion</x:v>
      </x:c>
      <x:c r="H30" s="15" t="str">
        <x:v>Datos, reporting, permisos</x:v>
      </x:c>
    </x:row>
    <x:row r="31">
      <x:c r="A31" s="130" t="str">
        <x:v>Total Usage-Based Construction Asset OS</x:v>
      </x:c>
      <x:c r="B31" s="29" t="n">
        <x:f>SUM(B20:B30)</x:f>
        <x:v>6.3460280000000004</x:v>
      </x:c>
      <x:c r="C31" s="29" t="n">
        <x:f>SUM(C20:C30)</x:f>
        <x:v>31.903577066666664</x:v>
      </x:c>
      <x:c r="D31" s="29" t="n">
        <x:f>SUM(D20:D30)</x:f>
        <x:v>65.90642556666667</x:v>
      </x:c>
      <x:c r="E31" s="29" t="n">
        <x:f>SUM(E20:E30)</x:f>
        <x:v>125.34680003333334</x:v>
      </x:c>
      <x:c r="F31" s="29" t="str">
        <x:v>Subtotal</x:v>
      </x:c>
      <x:c r="G31" s="29" t="str">
        <x:v>SUM</x:v>
      </x:c>
      <x:c r="H31" s="30" t="str">
        <x:v>Subtotal Asset OS</x:v>
      </x:c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16" t="str">
        <x:v>Verticales, marketplace y total ingresos</x:v>
      </x:c>
      <x:c r="B34" s="117" t="str"/>
      <x:c r="C34" s="117" t="str"/>
      <x:c r="D34" s="117" t="str"/>
      <x:c r="E34" s="117" t="str"/>
      <x:c r="F34" s="117" t="str"/>
      <x:c r="G34" s="117" t="str"/>
      <x:c r="H34" s="118" t="str"/>
    </x:row>
    <x:row r="35">
      <x:c r="A35" s="114" t="str">
        <x:v>Concepto</x:v>
      </x:c>
      <x:c r="B35" s="115" t="str">
        <x:v>2026/27</x:v>
      </x:c>
      <x:c r="C35" s="115" t="str">
        <x:v>2028</x:v>
      </x:c>
      <x:c r="D35" s="115" t="str">
        <x:v>2029</x:v>
      </x:c>
      <x:c r="E35" s="115" t="str">
        <x:v>2030</x:v>
      </x:c>
      <x:c r="F35" s="115" t="str">
        <x:v>Driver</x:v>
      </x:c>
      <x:c r="G35" s="115" t="str">
        <x:v>Formula</x:v>
      </x:c>
      <x:c r="H35" s="129" t="str">
        <x:v>Notas</x:v>
      </x:c>
    </x:row>
    <x:row r="36">
      <x:c r="A36" s="13" t="str">
        <x:v>iPath</x:v>
      </x:c>
      <x:c r="B36" s="131" t="n">
        <x:f>'01_Supuestos'!B38</x:f>
        <x:v>2.39</x:v>
      </x:c>
      <x:c r="C36" s="131" t="n">
        <x:f>'01_Supuestos'!C38</x:f>
        <x:v>7.21</x:v>
      </x:c>
      <x:c r="D36" s="131" t="n">
        <x:f>'01_Supuestos'!D38</x:f>
        <x:v>16.01</x:v>
      </x:c>
      <x:c r="E36" s="131" t="n">
        <x:f>'01_Supuestos'!E38</x:f>
        <x:v>33.91</x:v>
      </x:c>
      <x:c r="F36" s="14" t="str">
        <x:v>Input vertical</x:v>
      </x:c>
      <x:c r="G36" s="14" t="str">
        <x:v>Supuestos</x:v>
      </x:c>
      <x:c r="H36" s="15" t="str">
        <x:v>Infraestructura urbana industrializada</x:v>
      </x:c>
    </x:row>
    <x:row r="37">
      <x:c r="A37" s="13" t="str">
        <x:v>Moolde</x:v>
      </x:c>
      <x:c r="B37" s="131" t="n">
        <x:f>'01_Supuestos'!B39</x:f>
        <x:v>0.2</x:v>
      </x:c>
      <x:c r="C37" s="131" t="n">
        <x:f>'01_Supuestos'!C39</x:f>
        <x:v>0.8</x:v>
      </x:c>
      <x:c r="D37" s="131" t="n">
        <x:f>'01_Supuestos'!D39</x:f>
        <x:v>1.8</x:v>
      </x:c>
      <x:c r="E37" s="131" t="n">
        <x:f>'01_Supuestos'!E39</x:f>
        <x:v>3</x:v>
      </x:c>
      <x:c r="F37" s="14" t="str">
        <x:v>Input vertical</x:v>
      </x:c>
      <x:c r="G37" s="14" t="str">
        <x:v>Supuestos</x:v>
      </x:c>
      <x:c r="H37" s="15" t="str">
        <x:v>Circularidad/materiales</x:v>
      </x:c>
    </x:row>
    <x:row r="38">
      <x:c r="A38" s="13" t="str">
        <x:v>Internacional</x:v>
      </x:c>
      <x:c r="B38" s="131" t="n">
        <x:f>'01_Supuestos'!B40</x:f>
        <x:v>0</x:v>
      </x:c>
      <x:c r="C38" s="131" t="n">
        <x:f>'01_Supuestos'!C40</x:f>
        <x:v>1.5</x:v>
      </x:c>
      <x:c r="D38" s="131" t="n">
        <x:f>'01_Supuestos'!D40</x:f>
        <x:v>4</x:v>
      </x:c>
      <x:c r="E38" s="131" t="n">
        <x:f>'01_Supuestos'!E40</x:f>
        <x:v>12</x:v>
      </x:c>
      <x:c r="F38" s="14" t="str">
        <x:v>Input vertical</x:v>
      </x:c>
      <x:c r="G38" s="14" t="str">
        <x:v>Supuestos</x:v>
      </x:c>
      <x:c r="H38" s="15" t="str">
        <x:v>Expansion fuera de mercado inicial</x:v>
      </x:c>
    </x:row>
    <x:row r="39">
      <x:c r="A39" s="13" t="str">
        <x:v>Financial Layer</x:v>
      </x:c>
      <x:c r="B39" s="131" t="n">
        <x:f>'01_Supuestos'!B41</x:f>
        <x:v>0.3</x:v>
      </x:c>
      <x:c r="C39" s="131" t="n">
        <x:f>'01_Supuestos'!C41</x:f>
        <x:v>1.2</x:v>
      </x:c>
      <x:c r="D39" s="131" t="n">
        <x:f>'01_Supuestos'!D41</x:f>
        <x:v>3</x:v>
      </x:c>
      <x:c r="E39" s="131" t="n">
        <x:f>'01_Supuestos'!E41</x:f>
        <x:v>9</x:v>
      </x:c>
      <x:c r="F39" s="14" t="str">
        <x:v>Input vertical</x:v>
      </x:c>
      <x:c r="G39" s="14" t="str">
        <x:v>Supuestos</x:v>
      </x:c>
      <x:c r="H39" s="15" t="str">
        <x:v>Datos/servicios financieros</x:v>
      </x:c>
    </x:row>
    <x:row r="40">
      <x:c r="A40" s="13" t="str">
        <x:v>Marketplace</x:v>
      </x:c>
      <x:c r="B40" s="131" t="n">
        <x:f>'01_Supuestos'!B9*'01_Supuestos'!B36*'01_Supuestos'!B35/1000000+'01_Supuestos'!B37</x:f>
        <x:v>0.331</x:v>
      </x:c>
      <x:c r="C40" s="131" t="n">
        <x:f>'01_Supuestos'!C9*'01_Supuestos'!C36*'01_Supuestos'!C35/1000000+'01_Supuestos'!C37</x:f>
        <x:v>1.2542293333333334</x:v>
      </x:c>
      <x:c r="D40" s="131" t="n">
        <x:f>'01_Supuestos'!D9*'01_Supuestos'!D36*'01_Supuestos'!D35/1000000+'01_Supuestos'!D37</x:f>
        <x:v>3.7024799999999995</x:v>
      </x:c>
      <x:c r="E40" s="131" t="n">
        <x:f>'01_Supuestos'!E9*'01_Supuestos'!E36*'01_Supuestos'!E35/1000000+'01_Supuestos'!E37</x:f>
        <x:v>8.77144</x:v>
      </x:c>
      <x:c r="F40" s="14" t="str">
        <x:v>Stock vivo</x:v>
      </x:c>
      <x:c r="G40" s="14" t="str">
        <x:v>stock x fee x penetracion + premium</x:v>
      </x:c>
      <x:c r="H40" s="15" t="str">
        <x:v>Canal y servicios sobre red</x:v>
      </x:c>
    </x:row>
    <x:row r="41">
      <x:c r="A41" s="13" t="str"/>
      <x:c r="B41" s="131" t="str"/>
      <x:c r="C41" s="131" t="str"/>
      <x:c r="D41" s="131" t="str"/>
      <x:c r="E41" s="131" t="str"/>
      <x:c r="F41" s="14" t="str"/>
      <x:c r="G41" s="14" t="str"/>
      <x:c r="H41" s="15" t="str"/>
    </x:row>
    <x:row r="42">
      <x:c r="A42" s="130" t="str">
        <x:v>TOTAL INGRESOS</x:v>
      </x:c>
      <x:c r="B42" s="29" t="n">
        <x:f>B31+SUM(B36:B40)</x:f>
        <x:v>9.567028</x:v>
      </x:c>
      <x:c r="C42" s="29" t="n">
        <x:f>C31+SUM(C36:C40)</x:f>
        <x:v>43.86780639999999</x:v>
      </x:c>
      <x:c r="D42" s="29" t="n">
        <x:f>D31+SUM(D36:D40)</x:f>
        <x:v>94.41890556666667</x:v>
      </x:c>
      <x:c r="E42" s="29" t="n">
        <x:f>E31+SUM(E36:E40)</x:f>
        <x:v>192.02824003333333</x:v>
      </x:c>
      <x:c r="F42" s="29" t="str">
        <x:v>Total</x:v>
      </x:c>
      <x:c r="G42" s="29" t="str">
        <x:v>Asset OS + verticales</x:v>
      </x:c>
      <x:c r="H42" s="30" t="str">
        <x:v>Ingresos totales del plan</x:v>
      </x:c>
    </x:row>
    <x:row r="43">
      <x:c r="A43" s="13" t="str">
        <x:v>m2 emitidos</x:v>
      </x:c>
      <x:c r="B43" s="123" t="n">
        <x:f>'01_Supuestos'!B8</x:f>
        <x:v>300000</x:v>
      </x:c>
      <x:c r="C43" s="123" t="n">
        <x:f>'01_Supuestos'!C8</x:f>
        <x:v>1160333.3333333333</x:v>
      </x:c>
      <x:c r="D43" s="123" t="n">
        <x:f>'01_Supuestos'!D8</x:f>
        <x:v>2015333.3333333333</x:v>
      </x:c>
      <x:c r="E43" s="123" t="n">
        <x:f>'01_Supuestos'!E8</x:f>
        <x:v>3035333.3333333335</x:v>
      </x:c>
      <x:c r="F43" s="14" t="str">
        <x:v>Driver</x:v>
      </x:c>
      <x:c r="G43" s="14" t="str">
        <x:v>Supuestos</x:v>
      </x:c>
      <x:c r="H43" s="15" t="str"/>
    </x:row>
    <x:row r="44">
      <x:c r="A44" s="13" t="str">
        <x:v>Stock vivo</x:v>
      </x:c>
      <x:c r="B44" s="123" t="n">
        <x:f>'01_Supuestos'!B9</x:f>
        <x:v>300000</x:v>
      </x:c>
      <x:c r="C44" s="123" t="n">
        <x:f>'01_Supuestos'!C9</x:f>
        <x:v>1460333.3333333333</x:v>
      </x:c>
      <x:c r="D44" s="123" t="n">
        <x:f>'01_Supuestos'!D9</x:f>
        <x:v>3475666.6666666665</x:v>
      </x:c>
      <x:c r="E44" s="123" t="n">
        <x:f>'01_Supuestos'!E9</x:f>
        <x:v>6511000</x:v>
      </x:c>
      <x:c r="F44" s="14" t="str">
        <x:v>Driver</x:v>
      </x:c>
      <x:c r="G44" s="14" t="str">
        <x:v>Supuestos</x:v>
      </x:c>
      <x:c r="H44" s="15" t="str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3"/>
      <x:c r="B70" s="14"/>
      <x:c r="C70" s="14"/>
      <x:c r="D70" s="14"/>
      <x:c r="E70" s="14"/>
      <x:c r="F70" s="14"/>
      <x:c r="G70" s="14"/>
      <x:c r="H70" s="15"/>
    </x:row>
    <x:row r="71">
      <x:c r="A71" s="13"/>
      <x:c r="B71" s="14"/>
      <x:c r="C71" s="14"/>
      <x:c r="D71" s="14"/>
      <x:c r="E71" s="14"/>
      <x:c r="F71" s="14"/>
      <x:c r="G71" s="14"/>
      <x:c r="H71" s="15"/>
    </x:row>
    <x:row r="72">
      <x:c r="A72" s="13"/>
      <x:c r="B72" s="14"/>
      <x:c r="C72" s="14"/>
      <x:c r="D72" s="14"/>
      <x:c r="E72" s="14"/>
      <x:c r="F72" s="14"/>
      <x:c r="G72" s="14"/>
      <x:c r="H72" s="15"/>
    </x:row>
    <x:row r="73">
      <x:c r="A73" s="13"/>
      <x:c r="B73" s="14"/>
      <x:c r="C73" s="14"/>
      <x:c r="D73" s="14"/>
      <x:c r="E73" s="14"/>
      <x:c r="F73" s="14"/>
      <x:c r="G73" s="14"/>
      <x:c r="H73" s="15"/>
    </x:row>
    <x:row r="74">
      <x:c r="A74" s="13"/>
      <x:c r="B74" s="14"/>
      <x:c r="C74" s="14"/>
      <x:c r="D74" s="14"/>
      <x:c r="E74" s="14"/>
      <x:c r="F74" s="14"/>
      <x:c r="G74" s="14"/>
      <x:c r="H74" s="15"/>
    </x:row>
    <x:row r="75">
      <x:c r="A75" s="13"/>
      <x:c r="B75" s="14"/>
      <x:c r="C75" s="14"/>
      <x:c r="D75" s="14"/>
      <x:c r="E75" s="14"/>
      <x:c r="F75" s="14"/>
      <x:c r="G75" s="14"/>
      <x:c r="H75" s="15"/>
    </x:row>
    <x:row r="76">
      <x:c r="A76" s="13"/>
      <x:c r="B76" s="14"/>
      <x:c r="C76" s="14"/>
      <x:c r="D76" s="14"/>
      <x:c r="E76" s="14"/>
      <x:c r="F76" s="14"/>
      <x:c r="G76" s="14"/>
      <x:c r="H76" s="15"/>
    </x:row>
    <x:row r="77">
      <x:c r="A77" s="13"/>
      <x:c r="B77" s="14"/>
      <x:c r="C77" s="14"/>
      <x:c r="D77" s="14"/>
      <x:c r="E77" s="14"/>
      <x:c r="F77" s="14"/>
      <x:c r="G77" s="14"/>
      <x:c r="H77" s="15"/>
    </x:row>
    <x:row r="78">
      <x:c r="A78" s="13"/>
      <x:c r="B78" s="14"/>
      <x:c r="C78" s="14"/>
      <x:c r="D78" s="14"/>
      <x:c r="E78" s="14"/>
      <x:c r="F78" s="14"/>
      <x:c r="G78" s="14"/>
      <x:c r="H78" s="15"/>
    </x:row>
    <x:row r="79">
      <x:c r="A79" s="13"/>
      <x:c r="B79" s="14"/>
      <x:c r="C79" s="14"/>
      <x:c r="D79" s="14"/>
      <x:c r="E79" s="14"/>
      <x:c r="F79" s="14"/>
      <x:c r="G79" s="14"/>
      <x:c r="H79" s="15"/>
    </x:row>
    <x:row r="80">
      <x:c r="A80" s="13"/>
      <x:c r="B80" s="14"/>
      <x:c r="C80" s="14"/>
      <x:c r="D80" s="14"/>
      <x:c r="E80" s="14"/>
      <x:c r="F80" s="14"/>
      <x:c r="G80" s="14"/>
      <x:c r="H80" s="15"/>
    </x:row>
    <x:row r="81">
      <x:c r="A81" s="13"/>
      <x:c r="B81" s="14"/>
      <x:c r="C81" s="14"/>
      <x:c r="D81" s="14"/>
      <x:c r="E81" s="14"/>
      <x:c r="F81" s="14"/>
      <x:c r="G81" s="14"/>
      <x:c r="H81" s="15"/>
    </x:row>
    <x:row r="82">
      <x:c r="A82" s="13"/>
      <x:c r="B82" s="14"/>
      <x:c r="C82" s="14"/>
      <x:c r="D82" s="14"/>
      <x:c r="E82" s="14"/>
      <x:c r="F82" s="14"/>
      <x:c r="G82" s="14"/>
      <x:c r="H82" s="15"/>
    </x:row>
    <x:row r="83">
      <x:c r="A83" s="13"/>
      <x:c r="B83" s="14"/>
      <x:c r="C83" s="14"/>
      <x:c r="D83" s="14"/>
      <x:c r="E83" s="14"/>
      <x:c r="F83" s="14"/>
      <x:c r="G83" s="14"/>
      <x:c r="H83" s="15"/>
    </x:row>
    <x:row r="84">
      <x:c r="A84" s="13"/>
      <x:c r="B84" s="14"/>
      <x:c r="C84" s="14"/>
      <x:c r="D84" s="14"/>
      <x:c r="E84" s="14"/>
      <x:c r="F84" s="14"/>
      <x:c r="G84" s="14"/>
      <x:c r="H84" s="15"/>
    </x:row>
    <x:row r="85">
      <x:c r="A85" s="13"/>
      <x:c r="B85" s="14"/>
      <x:c r="C85" s="14"/>
      <x:c r="D85" s="14"/>
      <x:c r="E85" s="14"/>
      <x:c r="F85" s="14"/>
      <x:c r="G85" s="14"/>
      <x:c r="H85" s="15"/>
    </x:row>
    <x:row r="86">
      <x:c r="A86" s="13"/>
      <x:c r="B86" s="14"/>
      <x:c r="C86" s="14"/>
      <x:c r="D86" s="14"/>
      <x:c r="E86" s="14"/>
      <x:c r="F86" s="14"/>
      <x:c r="G86" s="14"/>
      <x:c r="H86" s="15"/>
    </x:row>
    <x:row r="87">
      <x:c r="A87" s="13"/>
      <x:c r="B87" s="14"/>
      <x:c r="C87" s="14"/>
      <x:c r="D87" s="14"/>
      <x:c r="E87" s="14"/>
      <x:c r="F87" s="14"/>
      <x:c r="G87" s="14"/>
      <x:c r="H87" s="15"/>
    </x:row>
    <x:row r="88">
      <x:c r="A88" s="13"/>
      <x:c r="B88" s="14"/>
      <x:c r="C88" s="14"/>
      <x:c r="D88" s="14"/>
      <x:c r="E88" s="14"/>
      <x:c r="F88" s="14"/>
      <x:c r="G88" s="14"/>
      <x:c r="H88" s="15"/>
    </x:row>
    <x:row r="89">
      <x:c r="A89" s="13"/>
      <x:c r="B89" s="14"/>
      <x:c r="C89" s="14"/>
      <x:c r="D89" s="14"/>
      <x:c r="E89" s="14"/>
      <x:c r="F89" s="14"/>
      <x:c r="G89" s="14"/>
      <x:c r="H89" s="15"/>
    </x:row>
    <x:row r="90">
      <x:c r="A90" s="13"/>
      <x:c r="B90" s="14"/>
      <x:c r="C90" s="14"/>
      <x:c r="D90" s="14"/>
      <x:c r="E90" s="14"/>
      <x:c r="F90" s="14"/>
      <x:c r="G90" s="14"/>
      <x:c r="H90" s="15"/>
    </x:row>
    <x:row r="91">
      <x:c r="A91" s="13"/>
      <x:c r="B91" s="14"/>
      <x:c r="C91" s="14"/>
      <x:c r="D91" s="14"/>
      <x:c r="E91" s="14"/>
      <x:c r="F91" s="14"/>
      <x:c r="G91" s="14"/>
      <x:c r="H91" s="15"/>
    </x:row>
    <x:row r="92">
      <x:c r="A92" s="13"/>
      <x:c r="B92" s="14"/>
      <x:c r="C92" s="14"/>
      <x:c r="D92" s="14"/>
      <x:c r="E92" s="14"/>
      <x:c r="F92" s="14"/>
      <x:c r="G92" s="14"/>
      <x:c r="H92" s="15"/>
    </x:row>
    <x:row r="93">
      <x:c r="A93" s="13"/>
      <x:c r="B93" s="14"/>
      <x:c r="C93" s="14"/>
      <x:c r="D93" s="14"/>
      <x:c r="E93" s="14"/>
      <x:c r="F93" s="14"/>
      <x:c r="G93" s="14"/>
      <x:c r="H93" s="15"/>
    </x:row>
    <x:row r="94">
      <x:c r="A94" s="13"/>
      <x:c r="B94" s="14"/>
      <x:c r="C94" s="14"/>
      <x:c r="D94" s="14"/>
      <x:c r="E94" s="14"/>
      <x:c r="F94" s="14"/>
      <x:c r="G94" s="14"/>
      <x:c r="H94" s="15"/>
    </x:row>
    <x:row r="95">
      <x:c r="A95" s="13"/>
      <x:c r="B95" s="14"/>
      <x:c r="C95" s="14"/>
      <x:c r="D95" s="14"/>
      <x:c r="E95" s="14"/>
      <x:c r="F95" s="14"/>
      <x:c r="G95" s="14"/>
      <x:c r="H95" s="15"/>
    </x:row>
    <x:row r="96">
      <x:c r="A96" s="13"/>
      <x:c r="B96" s="14"/>
      <x:c r="C96" s="14"/>
      <x:c r="D96" s="14"/>
      <x:c r="E96" s="14"/>
      <x:c r="F96" s="14"/>
      <x:c r="G96" s="14"/>
      <x:c r="H96" s="15"/>
    </x:row>
    <x:row r="97">
      <x:c r="A97" s="13"/>
      <x:c r="B97" s="14"/>
      <x:c r="C97" s="14"/>
      <x:c r="D97" s="14"/>
      <x:c r="E97" s="14"/>
      <x:c r="F97" s="14"/>
      <x:c r="G97" s="14"/>
      <x:c r="H97" s="15"/>
    </x:row>
    <x:row r="98">
      <x:c r="A98" s="13"/>
      <x:c r="B98" s="14"/>
      <x:c r="C98" s="14"/>
      <x:c r="D98" s="14"/>
      <x:c r="E98" s="14"/>
      <x:c r="F98" s="14"/>
      <x:c r="G98" s="14"/>
      <x:c r="H98" s="15"/>
    </x:row>
    <x:row r="99">
      <x:c r="A99" s="13"/>
      <x:c r="B99" s="14"/>
      <x:c r="C99" s="14"/>
      <x:c r="D99" s="14"/>
      <x:c r="E99" s="14"/>
      <x:c r="F99" s="14"/>
      <x:c r="G99" s="14"/>
      <x:c r="H99" s="15"/>
    </x:row>
    <x:row r="100">
      <x:c r="A100" s="16"/>
      <x:c r="B100" s="17"/>
      <x:c r="C100" s="17"/>
      <x:c r="D100" s="17"/>
      <x:c r="E100" s="17"/>
      <x:c r="F100" s="17"/>
      <x:c r="G100" s="17"/>
      <x:c r="H100" s="1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2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>
      <x:c r="A1" s="107" t="str">
        <x:v>03 Detalle de personal</x:v>
      </x:c>
      <x:c r="B1" s="108" t="str"/>
      <x:c r="C1" s="108" t="str"/>
      <x:c r="D1" s="108" t="str"/>
      <x:c r="E1" s="108" t="str"/>
      <x:c r="F1" s="109" t="str"/>
      <x:c r="G1" s="109" t="str"/>
      <x:c r="H1" s="109" t="str"/>
      <x:c r="I1" s="108" t="str"/>
      <x:c r="J1" s="108" t="str"/>
      <x:c r="K1" s="132" t="str"/>
    </x:row>
    <x:row r="2">
      <x:c r="A2" s="111" t="str">
        <x:v>Perfiles, departamentos, sueldo medio y FTE por tramo. Coste en EUR M.</x:v>
      </x:c>
      <x:c r="B2" s="112" t="str"/>
      <x:c r="C2" s="112" t="str"/>
      <x:c r="D2" s="112" t="str"/>
      <x:c r="E2" s="112" t="str"/>
      <x:c r="F2" s="112" t="str"/>
      <x:c r="G2" s="112" t="str"/>
      <x:c r="H2" s="112" t="str"/>
      <x:c r="I2" s="112" t="str"/>
      <x:c r="J2" s="112" t="str"/>
      <x:c r="K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5" t="str"/>
    </x:row>
    <x:row r="4">
      <x:c r="A4" s="13"/>
      <x:c r="B4" s="14"/>
      <x:c r="C4" s="14"/>
      <x:c r="D4" s="14"/>
      <x:c r="E4" s="14"/>
      <x:c r="F4" s="14"/>
      <x:c r="G4" s="14"/>
      <x:c r="H4" s="14"/>
      <x:c r="I4" s="14"/>
      <x:c r="J4" s="14"/>
      <x:c r="K4" s="15"/>
    </x:row>
    <x:row r="5">
      <x:c r="A5" s="114" t="str">
        <x:v>Departamento</x:v>
      </x:c>
      <x:c r="B5" s="115" t="str">
        <x:v>Perfil</x:v>
      </x:c>
      <x:c r="C5" s="115" t="str">
        <x:v>Sueldo medio EUR/FTE</x:v>
      </x:c>
      <x:c r="D5" s="115" t="str">
        <x:v>2026/27</x:v>
      </x:c>
      <x:c r="E5" s="115" t="str">
        <x:v>2028</x:v>
      </x:c>
      <x:c r="F5" s="115" t="str">
        <x:v>2029</x:v>
      </x:c>
      <x:c r="G5" s="115" t="str">
        <x:v>2030</x:v>
      </x:c>
      <x:c r="H5" s="115" t="str">
        <x:v>Coste 2026/27</x:v>
      </x:c>
      <x:c r="I5" s="115" t="str">
        <x:v>Coste 2028</x:v>
      </x:c>
      <x:c r="J5" s="115" t="str">
        <x:v>Coste 2029</x:v>
      </x:c>
      <x:c r="K5" s="129" t="str">
        <x:v>Coste 2030</x:v>
      </x:c>
    </x:row>
    <x:row r="6">
      <x:c r="A6" s="13" t="str">
        <x:v>Direccion</x:v>
      </x:c>
      <x:c r="B6" s="14" t="str">
        <x:v>CEO / Direccion general</x:v>
      </x:c>
      <x:c r="C6" s="124" t="n">
        <x:v>110000</x:v>
      </x:c>
      <x:c r="D6" s="124" t="n">
        <x:v>1</x:v>
      </x:c>
      <x:c r="E6" s="124" t="n">
        <x:v>1</x:v>
      </x:c>
      <x:c r="F6" s="124" t="n">
        <x:v>1</x:v>
      </x:c>
      <x:c r="G6" s="124" t="n">
        <x:v>1</x:v>
      </x:c>
      <x:c r="H6" s="133" t="n">
        <x:f>$C6*D6/1000000</x:f>
        <x:v>0.11</x:v>
      </x:c>
      <x:c r="I6" s="133" t="n">
        <x:f>$C6*E6/1000000</x:f>
        <x:v>0.11</x:v>
      </x:c>
      <x:c r="J6" s="133" t="n">
        <x:f>$C6*F6/1000000</x:f>
        <x:v>0.11</x:v>
      </x:c>
      <x:c r="K6" s="134" t="n">
        <x:f>$C6*G6/1000000</x:f>
        <x:v>0.11</x:v>
      </x:c>
    </x:row>
    <x:row r="7">
      <x:c r="A7" s="13" t="str">
        <x:v>Direccion</x:v>
      </x:c>
      <x:c r="B7" s="14" t="str">
        <x:v>COO / Direccion operaciones</x:v>
      </x:c>
      <x:c r="C7" s="124" t="n">
        <x:v>105000</x:v>
      </x:c>
      <x:c r="D7" s="124" t="n">
        <x:v>1</x:v>
      </x:c>
      <x:c r="E7" s="124" t="n">
        <x:v>1</x:v>
      </x:c>
      <x:c r="F7" s="124" t="n">
        <x:v>1</x:v>
      </x:c>
      <x:c r="G7" s="124" t="n">
        <x:v>1</x:v>
      </x:c>
      <x:c r="H7" s="133" t="n">
        <x:f>$C7*D7/1000000</x:f>
        <x:v>0.105</x:v>
      </x:c>
      <x:c r="I7" s="133" t="n">
        <x:f>$C7*E7/1000000</x:f>
        <x:v>0.105</x:v>
      </x:c>
      <x:c r="J7" s="133" t="n">
        <x:f>$C7*F7/1000000</x:f>
        <x:v>0.105</x:v>
      </x:c>
      <x:c r="K7" s="134" t="n">
        <x:f>$C7*G7/1000000</x:f>
        <x:v>0.105</x:v>
      </x:c>
    </x:row>
    <x:row r="8">
      <x:c r="A8" s="13" t="str">
        <x:v>Direccion</x:v>
      </x:c>
      <x:c r="B8" s="14" t="str">
        <x:v>CTO / Direccion producto</x:v>
      </x:c>
      <x:c r="C8" s="124" t="n">
        <x:v>105000</x:v>
      </x:c>
      <x:c r="D8" s="124" t="n">
        <x:v>1</x:v>
      </x:c>
      <x:c r="E8" s="124" t="n">
        <x:v>1</x:v>
      </x:c>
      <x:c r="F8" s="124" t="n">
        <x:v>1</x:v>
      </x:c>
      <x:c r="G8" s="124" t="n">
        <x:v>1</x:v>
      </x:c>
      <x:c r="H8" s="133" t="n">
        <x:f>$C8*D8/1000000</x:f>
        <x:v>0.105</x:v>
      </x:c>
      <x:c r="I8" s="133" t="n">
        <x:f>$C8*E8/1000000</x:f>
        <x:v>0.105</x:v>
      </x:c>
      <x:c r="J8" s="133" t="n">
        <x:f>$C8*F8/1000000</x:f>
        <x:v>0.105</x:v>
      </x:c>
      <x:c r="K8" s="134" t="n">
        <x:f>$C8*G8/1000000</x:f>
        <x:v>0.105</x:v>
      </x:c>
    </x:row>
    <x:row r="9">
      <x:c r="A9" s="13" t="str">
        <x:v>Direccion</x:v>
      </x:c>
      <x:c r="B9" s="14" t="str">
        <x:v>CFO / Finanzas e inversores</x:v>
      </x:c>
      <x:c r="C9" s="124" t="n">
        <x:v>95000</x:v>
      </x:c>
      <x:c r="D9" s="124" t="n">
        <x:v>0.5</x:v>
      </x:c>
      <x:c r="E9" s="124" t="n">
        <x:v>1</x:v>
      </x:c>
      <x:c r="F9" s="124" t="n">
        <x:v>1</x:v>
      </x:c>
      <x:c r="G9" s="124" t="n">
        <x:v>1</x:v>
      </x:c>
      <x:c r="H9" s="133" t="n">
        <x:f>$C9*D9/1000000</x:f>
        <x:v>0.0475</x:v>
      </x:c>
      <x:c r="I9" s="133" t="n">
        <x:f>$C9*E9/1000000</x:f>
        <x:v>0.095</x:v>
      </x:c>
      <x:c r="J9" s="133" t="n">
        <x:f>$C9*F9/1000000</x:f>
        <x:v>0.095</x:v>
      </x:c>
      <x:c r="K9" s="134" t="n">
        <x:f>$C9*G9/1000000</x:f>
        <x:v>0.095</x:v>
      </x:c>
    </x:row>
    <x:row r="10">
      <x:c r="A10" s="13" t="str">
        <x:v>Direccion</x:v>
      </x:c>
      <x:c r="B10" s="14" t="str">
        <x:v>Direccion comercial / Growth</x:v>
      </x:c>
      <x:c r="C10" s="124" t="n">
        <x:v>90000</x:v>
      </x:c>
      <x:c r="D10" s="124" t="n">
        <x:v>0.5</x:v>
      </x:c>
      <x:c r="E10" s="124" t="n">
        <x:v>1</x:v>
      </x:c>
      <x:c r="F10" s="124" t="n">
        <x:v>1</x:v>
      </x:c>
      <x:c r="G10" s="124" t="n">
        <x:v>1</x:v>
      </x:c>
      <x:c r="H10" s="133" t="n">
        <x:f>$C10*D10/1000000</x:f>
        <x:v>0.045</x:v>
      </x:c>
      <x:c r="I10" s="133" t="n">
        <x:f>$C10*E10/1000000</x:f>
        <x:v>0.09</x:v>
      </x:c>
      <x:c r="J10" s="133" t="n">
        <x:f>$C10*F10/1000000</x:f>
        <x:v>0.09</x:v>
      </x:c>
      <x:c r="K10" s="134" t="n">
        <x:f>$C10*G10/1000000</x:f>
        <x:v>0.09</x:v>
      </x:c>
    </x:row>
    <x:row r="11">
      <x:c r="A11" s="13" t="str">
        <x:v>Producto</x:v>
      </x:c>
      <x:c r="B11" s="14" t="str">
        <x:v>Product Manager Asset OS</x:v>
      </x:c>
      <x:c r="C11" s="124" t="n">
        <x:v>80000</x:v>
      </x:c>
      <x:c r="D11" s="124" t="n">
        <x:v>1</x:v>
      </x:c>
      <x:c r="E11" s="124" t="n">
        <x:v>2</x:v>
      </x:c>
      <x:c r="F11" s="124" t="n">
        <x:v>3</x:v>
      </x:c>
      <x:c r="G11" s="124" t="n">
        <x:v>4</x:v>
      </x:c>
      <x:c r="H11" s="133" t="n">
        <x:f>$C11*D11/1000000</x:f>
        <x:v>0.08</x:v>
      </x:c>
      <x:c r="I11" s="133" t="n">
        <x:f>$C11*E11/1000000</x:f>
        <x:v>0.16</x:v>
      </x:c>
      <x:c r="J11" s="133" t="n">
        <x:f>$C11*F11/1000000</x:f>
        <x:v>0.24</x:v>
      </x:c>
      <x:c r="K11" s="134" t="n">
        <x:f>$C11*G11/1000000</x:f>
        <x:v>0.32</x:v>
      </x:c>
    </x:row>
    <x:row r="12">
      <x:c r="A12" s="13" t="str">
        <x:v>Producto</x:v>
      </x:c>
      <x:c r="B12" s="14" t="str">
        <x:v>Product Manager iPath / POI / DPP</x:v>
      </x:c>
      <x:c r="C12" s="124" t="n">
        <x:v>78000</x:v>
      </x:c>
      <x:c r="D12" s="124" t="n">
        <x:v>1</x:v>
      </x:c>
      <x:c r="E12" s="124" t="n">
        <x:v>2</x:v>
      </x:c>
      <x:c r="F12" s="124" t="n">
        <x:v>3</x:v>
      </x:c>
      <x:c r="G12" s="124" t="n">
        <x:v>4</x:v>
      </x:c>
      <x:c r="H12" s="133" t="n">
        <x:f>$C12*D12/1000000</x:f>
        <x:v>0.078</x:v>
      </x:c>
      <x:c r="I12" s="133" t="n">
        <x:f>$C12*E12/1000000</x:f>
        <x:v>0.156</x:v>
      </x:c>
      <x:c r="J12" s="133" t="n">
        <x:f>$C12*F12/1000000</x:f>
        <x:v>0.234</x:v>
      </x:c>
      <x:c r="K12" s="134" t="n">
        <x:f>$C12*G12/1000000</x:f>
        <x:v>0.312</x:v>
      </x:c>
    </x:row>
    <x:row r="13">
      <x:c r="A13" s="13" t="str">
        <x:v>Producto</x:v>
      </x:c>
      <x:c r="B13" s="14" t="str">
        <x:v>Backend / Platform Engineer</x:v>
      </x:c>
      <x:c r="C13" s="124" t="n">
        <x:v>72000</x:v>
      </x:c>
      <x:c r="D13" s="124" t="n">
        <x:v>3</x:v>
      </x:c>
      <x:c r="E13" s="124" t="n">
        <x:v>8</x:v>
      </x:c>
      <x:c r="F13" s="124" t="n">
        <x:v>14</x:v>
      </x:c>
      <x:c r="G13" s="124" t="n">
        <x:v>22</x:v>
      </x:c>
      <x:c r="H13" s="133" t="n">
        <x:f>$C13*D13/1000000</x:f>
        <x:v>0.216</x:v>
      </x:c>
      <x:c r="I13" s="133" t="n">
        <x:f>$C13*E13/1000000</x:f>
        <x:v>0.576</x:v>
      </x:c>
      <x:c r="J13" s="133" t="n">
        <x:f>$C13*F13/1000000</x:f>
        <x:v>1.008</x:v>
      </x:c>
      <x:c r="K13" s="134" t="n">
        <x:f>$C13*G13/1000000</x:f>
        <x:v>1.584</x:v>
      </x:c>
    </x:row>
    <x:row r="14">
      <x:c r="A14" s="13" t="str">
        <x:v>Producto</x:v>
      </x:c>
      <x:c r="B14" s="14" t="str">
        <x:v>Frontend / App Engineer</x:v>
      </x:c>
      <x:c r="C14" s="124" t="n">
        <x:v>65000</x:v>
      </x:c>
      <x:c r="D14" s="124" t="n">
        <x:v>2</x:v>
      </x:c>
      <x:c r="E14" s="124" t="n">
        <x:v>5</x:v>
      </x:c>
      <x:c r="F14" s="124" t="n">
        <x:v>8</x:v>
      </x:c>
      <x:c r="G14" s="124" t="n">
        <x:v>12</x:v>
      </x:c>
      <x:c r="H14" s="133" t="n">
        <x:f>$C14*D14/1000000</x:f>
        <x:v>0.13</x:v>
      </x:c>
      <x:c r="I14" s="133" t="n">
        <x:f>$C14*E14/1000000</x:f>
        <x:v>0.325</x:v>
      </x:c>
      <x:c r="J14" s="133" t="n">
        <x:f>$C14*F14/1000000</x:f>
        <x:v>0.52</x:v>
      </x:c>
      <x:c r="K14" s="134" t="n">
        <x:f>$C14*G14/1000000</x:f>
        <x:v>0.78</x:v>
      </x:c>
    </x:row>
    <x:row r="15">
      <x:c r="A15" s="13" t="str">
        <x:v>Producto</x:v>
      </x:c>
      <x:c r="B15" s="14" t="str">
        <x:v>Mobile / Reading Apps Engineer</x:v>
      </x:c>
      <x:c r="C15" s="124" t="n">
        <x:v>62000</x:v>
      </x:c>
      <x:c r="D15" s="124" t="n">
        <x:v>1</x:v>
      </x:c>
      <x:c r="E15" s="124" t="n">
        <x:v>3</x:v>
      </x:c>
      <x:c r="F15" s="124" t="n">
        <x:v>5</x:v>
      </x:c>
      <x:c r="G15" s="124" t="n">
        <x:v>8</x:v>
      </x:c>
      <x:c r="H15" s="133" t="n">
        <x:f>$C15*D15/1000000</x:f>
        <x:v>0.062</x:v>
      </x:c>
      <x:c r="I15" s="133" t="n">
        <x:f>$C15*E15/1000000</x:f>
        <x:v>0.186</x:v>
      </x:c>
      <x:c r="J15" s="133" t="n">
        <x:f>$C15*F15/1000000</x:f>
        <x:v>0.31</x:v>
      </x:c>
      <x:c r="K15" s="134" t="n">
        <x:f>$C15*G15/1000000</x:f>
        <x:v>0.496</x:v>
      </x:c>
    </x:row>
    <x:row r="16">
      <x:c r="A16" s="13" t="str">
        <x:v>Producto</x:v>
      </x:c>
      <x:c r="B16" s="14" t="str">
        <x:v>Data / AI Engineer</x:v>
      </x:c>
      <x:c r="C16" s="124" t="n">
        <x:v>80000</x:v>
      </x:c>
      <x:c r="D16" s="124" t="n">
        <x:v>1</x:v>
      </x:c>
      <x:c r="E16" s="124" t="n">
        <x:v>4</x:v>
      </x:c>
      <x:c r="F16" s="124" t="n">
        <x:v>8</x:v>
      </x:c>
      <x:c r="G16" s="124" t="n">
        <x:v>14</x:v>
      </x:c>
      <x:c r="H16" s="133" t="n">
        <x:f>$C16*D16/1000000</x:f>
        <x:v>0.08</x:v>
      </x:c>
      <x:c r="I16" s="133" t="n">
        <x:f>$C16*E16/1000000</x:f>
        <x:v>0.32</x:v>
      </x:c>
      <x:c r="J16" s="133" t="n">
        <x:f>$C16*F16/1000000</x:f>
        <x:v>0.64</x:v>
      </x:c>
      <x:c r="K16" s="134" t="n">
        <x:f>$C16*G16/1000000</x:f>
        <x:v>1.12</x:v>
      </x:c>
    </x:row>
    <x:row r="17">
      <x:c r="A17" s="13" t="str">
        <x:v>Producto</x:v>
      </x:c>
      <x:c r="B17" s="14" t="str">
        <x:v>GIS Engineer</x:v>
      </x:c>
      <x:c r="C17" s="124" t="n">
        <x:v>65000</x:v>
      </x:c>
      <x:c r="D17" s="124" t="n">
        <x:v>1</x:v>
      </x:c>
      <x:c r="E17" s="124" t="n">
        <x:v>2</x:v>
      </x:c>
      <x:c r="F17" s="124" t="n">
        <x:v>4</x:v>
      </x:c>
      <x:c r="G17" s="124" t="n">
        <x:v>6</x:v>
      </x:c>
      <x:c r="H17" s="133" t="n">
        <x:f>$C17*D17/1000000</x:f>
        <x:v>0.065</x:v>
      </x:c>
      <x:c r="I17" s="133" t="n">
        <x:f>$C17*E17/1000000</x:f>
        <x:v>0.13</x:v>
      </x:c>
      <x:c r="J17" s="133" t="n">
        <x:f>$C17*F17/1000000</x:f>
        <x:v>0.26</x:v>
      </x:c>
      <x:c r="K17" s="134" t="n">
        <x:f>$C17*G17/1000000</x:f>
        <x:v>0.39</x:v>
      </x:c>
    </x:row>
    <x:row r="18">
      <x:c r="A18" s="13" t="str">
        <x:v>Producto</x:v>
      </x:c>
      <x:c r="B18" s="14" t="str">
        <x:v>DevOps / Security</x:v>
      </x:c>
      <x:c r="C18" s="124" t="n">
        <x:v>80000</x:v>
      </x:c>
      <x:c r="D18" s="124" t="n">
        <x:v>1</x:v>
      </x:c>
      <x:c r="E18" s="124" t="n">
        <x:v>3</x:v>
      </x:c>
      <x:c r="F18" s="124" t="n">
        <x:v>5</x:v>
      </x:c>
      <x:c r="G18" s="124" t="n">
        <x:v>8</x:v>
      </x:c>
      <x:c r="H18" s="133" t="n">
        <x:f>$C18*D18/1000000</x:f>
        <x:v>0.08</x:v>
      </x:c>
      <x:c r="I18" s="133" t="n">
        <x:f>$C18*E18/1000000</x:f>
        <x:v>0.24</x:v>
      </x:c>
      <x:c r="J18" s="133" t="n">
        <x:f>$C18*F18/1000000</x:f>
        <x:v>0.4</x:v>
      </x:c>
      <x:c r="K18" s="134" t="n">
        <x:f>$C18*G18/1000000</x:f>
        <x:v>0.64</x:v>
      </x:c>
    </x:row>
    <x:row r="19">
      <x:c r="A19" s="13" t="str">
        <x:v>Producto</x:v>
      </x:c>
      <x:c r="B19" s="14" t="str">
        <x:v>QA / Automation</x:v>
      </x:c>
      <x:c r="C19" s="124" t="n">
        <x:v>58000</x:v>
      </x:c>
      <x:c r="D19" s="124" t="n">
        <x:v>1</x:v>
      </x:c>
      <x:c r="E19" s="124" t="n">
        <x:v>3</x:v>
      </x:c>
      <x:c r="F19" s="124" t="n">
        <x:v>6</x:v>
      </x:c>
      <x:c r="G19" s="124" t="n">
        <x:v>10</x:v>
      </x:c>
      <x:c r="H19" s="133" t="n">
        <x:f>$C19*D19/1000000</x:f>
        <x:v>0.058</x:v>
      </x:c>
      <x:c r="I19" s="133" t="n">
        <x:f>$C19*E19/1000000</x:f>
        <x:v>0.174</x:v>
      </x:c>
      <x:c r="J19" s="133" t="n">
        <x:f>$C19*F19/1000000</x:f>
        <x:v>0.348</x:v>
      </x:c>
      <x:c r="K19" s="134" t="n">
        <x:f>$C19*G19/1000000</x:f>
        <x:v>0.58</x:v>
      </x:c>
    </x:row>
    <x:row r="20">
      <x:c r="A20" s="13" t="str">
        <x:v>Producto</x:v>
      </x:c>
      <x:c r="B20" s="14" t="str">
        <x:v>UX/UI / Research</x:v>
      </x:c>
      <x:c r="C20" s="124" t="n">
        <x:v>55000</x:v>
      </x:c>
      <x:c r="D20" s="124" t="n">
        <x:v>1</x:v>
      </x:c>
      <x:c r="E20" s="124" t="n">
        <x:v>2</x:v>
      </x:c>
      <x:c r="F20" s="124" t="n">
        <x:v>3</x:v>
      </x:c>
      <x:c r="G20" s="124" t="n">
        <x:v>5</x:v>
      </x:c>
      <x:c r="H20" s="133" t="n">
        <x:f>$C20*D20/1000000</x:f>
        <x:v>0.055</x:v>
      </x:c>
      <x:c r="I20" s="133" t="n">
        <x:f>$C20*E20/1000000</x:f>
        <x:v>0.11</x:v>
      </x:c>
      <x:c r="J20" s="133" t="n">
        <x:f>$C20*F20/1000000</x:f>
        <x:v>0.165</x:v>
      </x:c>
      <x:c r="K20" s="134" t="n">
        <x:f>$C20*G20/1000000</x:f>
        <x:v>0.275</x:v>
      </x:c>
    </x:row>
    <x:row r="21">
      <x:c r="A21" s="13" t="str">
        <x:v>Operaciones</x:v>
      </x:c>
      <x:c r="B21" s="14" t="str">
        <x:v>Industrialization Lead</x:v>
      </x:c>
      <x:c r="C21" s="124" t="n">
        <x:v>78000</x:v>
      </x:c>
      <x:c r="D21" s="124" t="n">
        <x:v>1</x:v>
      </x:c>
      <x:c r="E21" s="124" t="n">
        <x:v>2</x:v>
      </x:c>
      <x:c r="F21" s="124" t="n">
        <x:v>3</x:v>
      </x:c>
      <x:c r="G21" s="124" t="n">
        <x:v>5</x:v>
      </x:c>
      <x:c r="H21" s="133" t="n">
        <x:f>$C21*D21/1000000</x:f>
        <x:v>0.078</x:v>
      </x:c>
      <x:c r="I21" s="133" t="n">
        <x:f>$C21*E21/1000000</x:f>
        <x:v>0.156</x:v>
      </x:c>
      <x:c r="J21" s="133" t="n">
        <x:f>$C21*F21/1000000</x:f>
        <x:v>0.234</x:v>
      </x:c>
      <x:c r="K21" s="134" t="n">
        <x:f>$C21*G21/1000000</x:f>
        <x:v>0.39</x:v>
      </x:c>
    </x:row>
    <x:row r="22">
      <x:c r="A22" s="13" t="str">
        <x:v>Operaciones</x:v>
      </x:c>
      <x:c r="B22" s="14" t="str">
        <x:v>Factory Integration Specialist</x:v>
      </x:c>
      <x:c r="C22" s="124" t="n">
        <x:v>62000</x:v>
      </x:c>
      <x:c r="D22" s="124" t="n">
        <x:v>2</x:v>
      </x:c>
      <x:c r="E22" s="124" t="n">
        <x:v>5</x:v>
      </x:c>
      <x:c r="F22" s="124" t="n">
        <x:v>9</x:v>
      </x:c>
      <x:c r="G22" s="124" t="n">
        <x:v>14</x:v>
      </x:c>
      <x:c r="H22" s="133" t="n">
        <x:f>$C22*D22/1000000</x:f>
        <x:v>0.124</x:v>
      </x:c>
      <x:c r="I22" s="133" t="n">
        <x:f>$C22*E22/1000000</x:f>
        <x:v>0.31</x:v>
      </x:c>
      <x:c r="J22" s="133" t="n">
        <x:f>$C22*F22/1000000</x:f>
        <x:v>0.558</x:v>
      </x:c>
      <x:c r="K22" s="134" t="n">
        <x:f>$C22*G22/1000000</x:f>
        <x:v>0.868</x:v>
      </x:c>
    </x:row>
    <x:row r="23">
      <x:c r="A23" s="13" t="str">
        <x:v>Operaciones</x:v>
      </x:c>
      <x:c r="B23" s="14" t="str">
        <x:v>Site / POI Lead</x:v>
      </x:c>
      <x:c r="C23" s="124" t="n">
        <x:v>62000</x:v>
      </x:c>
      <x:c r="D23" s="124" t="n">
        <x:v>2</x:v>
      </x:c>
      <x:c r="E23" s="124" t="n">
        <x:v>5</x:v>
      </x:c>
      <x:c r="F23" s="124" t="n">
        <x:v>9</x:v>
      </x:c>
      <x:c r="G23" s="124" t="n">
        <x:v>14</x:v>
      </x:c>
      <x:c r="H23" s="133" t="n">
        <x:f>$C23*D23/1000000</x:f>
        <x:v>0.124</x:v>
      </x:c>
      <x:c r="I23" s="133" t="n">
        <x:f>$C23*E23/1000000</x:f>
        <x:v>0.31</x:v>
      </x:c>
      <x:c r="J23" s="133" t="n">
        <x:f>$C23*F23/1000000</x:f>
        <x:v>0.558</x:v>
      </x:c>
      <x:c r="K23" s="134" t="n">
        <x:f>$C23*G23/1000000</x:f>
        <x:v>0.868</x:v>
      </x:c>
    </x:row>
    <x:row r="24">
      <x:c r="A24" s="13" t="str">
        <x:v>Operaciones</x:v>
      </x:c>
      <x:c r="B24" s="14" t="str">
        <x:v>DPP / Documental Lead</x:v>
      </x:c>
      <x:c r="C24" s="124" t="n">
        <x:v>60000</x:v>
      </x:c>
      <x:c r="D24" s="124" t="n">
        <x:v>1</x:v>
      </x:c>
      <x:c r="E24" s="124" t="n">
        <x:v>3</x:v>
      </x:c>
      <x:c r="F24" s="124" t="n">
        <x:v>6</x:v>
      </x:c>
      <x:c r="G24" s="124" t="n">
        <x:v>10</x:v>
      </x:c>
      <x:c r="H24" s="133" t="n">
        <x:f>$C24*D24/1000000</x:f>
        <x:v>0.06</x:v>
      </x:c>
      <x:c r="I24" s="133" t="n">
        <x:f>$C24*E24/1000000</x:f>
        <x:v>0.18</x:v>
      </x:c>
      <x:c r="J24" s="133" t="n">
        <x:f>$C24*F24/1000000</x:f>
        <x:v>0.36</x:v>
      </x:c>
      <x:c r="K24" s="134" t="n">
        <x:f>$C24*G24/1000000</x:f>
        <x:v>0.6</x:v>
      </x:c>
    </x:row>
    <x:row r="25">
      <x:c r="A25" s="13" t="str">
        <x:v>Operaciones</x:v>
      </x:c>
      <x:c r="B25" s="14" t="str">
        <x:v>Customer Success Manager</x:v>
      </x:c>
      <x:c r="C25" s="124" t="n">
        <x:v>58000</x:v>
      </x:c>
      <x:c r="D25" s="124" t="n">
        <x:v>2</x:v>
      </x:c>
      <x:c r="E25" s="124" t="n">
        <x:v>6</x:v>
      </x:c>
      <x:c r="F25" s="124" t="n">
        <x:v>12</x:v>
      </x:c>
      <x:c r="G25" s="124" t="n">
        <x:v>20</x:v>
      </x:c>
      <x:c r="H25" s="133" t="n">
        <x:f>$C25*D25/1000000</x:f>
        <x:v>0.116</x:v>
      </x:c>
      <x:c r="I25" s="133" t="n">
        <x:f>$C25*E25/1000000</x:f>
        <x:v>0.348</x:v>
      </x:c>
      <x:c r="J25" s="133" t="n">
        <x:f>$C25*F25/1000000</x:f>
        <x:v>0.696</x:v>
      </x:c>
      <x:c r="K25" s="134" t="n">
        <x:f>$C25*G25/1000000</x:f>
        <x:v>1.16</x:v>
      </x:c>
    </x:row>
    <x:row r="26">
      <x:c r="A26" s="13" t="str">
        <x:v>Operaciones</x:v>
      </x:c>
      <x:c r="B26" s="14" t="str">
        <x:v>Implementation Consultant</x:v>
      </x:c>
      <x:c r="C26" s="124" t="n">
        <x:v>60000</x:v>
      </x:c>
      <x:c r="D26" s="124" t="n">
        <x:v>2</x:v>
      </x:c>
      <x:c r="E26" s="124" t="n">
        <x:v>6</x:v>
      </x:c>
      <x:c r="F26" s="124" t="n">
        <x:v>10</x:v>
      </x:c>
      <x:c r="G26" s="124" t="n">
        <x:v>16</x:v>
      </x:c>
      <x:c r="H26" s="133" t="n">
        <x:f>$C26*D26/1000000</x:f>
        <x:v>0.12</x:v>
      </x:c>
      <x:c r="I26" s="133" t="n">
        <x:f>$C26*E26/1000000</x:f>
        <x:v>0.36</x:v>
      </x:c>
      <x:c r="J26" s="133" t="n">
        <x:f>$C26*F26/1000000</x:f>
        <x:v>0.6</x:v>
      </x:c>
      <x:c r="K26" s="134" t="n">
        <x:f>$C26*G26/1000000</x:f>
        <x:v>0.96</x:v>
      </x:c>
    </x:row>
    <x:row r="27">
      <x:c r="A27" s="13" t="str">
        <x:v>Operaciones</x:v>
      </x:c>
      <x:c r="B27" s="14" t="str">
        <x:v>Technical Support / Field</x:v>
      </x:c>
      <x:c r="C27" s="124" t="n">
        <x:v>42000</x:v>
      </x:c>
      <x:c r="D27" s="124" t="n">
        <x:v>2</x:v>
      </x:c>
      <x:c r="E27" s="124" t="n">
        <x:v>6</x:v>
      </x:c>
      <x:c r="F27" s="124" t="n">
        <x:v>12</x:v>
      </x:c>
      <x:c r="G27" s="124" t="n">
        <x:v>20</x:v>
      </x:c>
      <x:c r="H27" s="133" t="n">
        <x:f>$C27*D27/1000000</x:f>
        <x:v>0.084</x:v>
      </x:c>
      <x:c r="I27" s="133" t="n">
        <x:f>$C27*E27/1000000</x:f>
        <x:v>0.252</x:v>
      </x:c>
      <x:c r="J27" s="133" t="n">
        <x:f>$C27*F27/1000000</x:f>
        <x:v>0.504</x:v>
      </x:c>
      <x:c r="K27" s="134" t="n">
        <x:f>$C27*G27/1000000</x:f>
        <x:v>0.84</x:v>
      </x:c>
    </x:row>
    <x:row r="28">
      <x:c r="A28" s="13" t="str">
        <x:v>Operaciones</x:v>
      </x:c>
      <x:c r="B28" s="14" t="str">
        <x:v>Data Ops Analyst</x:v>
      </x:c>
      <x:c r="C28" s="124" t="n">
        <x:v>48000</x:v>
      </x:c>
      <x:c r="D28" s="124" t="n">
        <x:v>1</x:v>
      </x:c>
      <x:c r="E28" s="124" t="n">
        <x:v>4</x:v>
      </x:c>
      <x:c r="F28" s="124" t="n">
        <x:v>8</x:v>
      </x:c>
      <x:c r="G28" s="124" t="n">
        <x:v>14</x:v>
      </x:c>
      <x:c r="H28" s="133" t="n">
        <x:f>$C28*D28/1000000</x:f>
        <x:v>0.048</x:v>
      </x:c>
      <x:c r="I28" s="133" t="n">
        <x:f>$C28*E28/1000000</x:f>
        <x:v>0.192</x:v>
      </x:c>
      <x:c r="J28" s="133" t="n">
        <x:f>$C28*F28/1000000</x:f>
        <x:v>0.384</x:v>
      </x:c>
      <x:c r="K28" s="134" t="n">
        <x:f>$C28*G28/1000000</x:f>
        <x:v>0.672</x:v>
      </x:c>
    </x:row>
    <x:row r="29">
      <x:c r="A29" s="13" t="str">
        <x:v>GTM</x:v>
      </x:c>
      <x:c r="B29" s="14" t="str">
        <x:v>Business Development</x:v>
      </x:c>
      <x:c r="C29" s="124" t="n">
        <x:v>70000</x:v>
      </x:c>
      <x:c r="D29" s="124" t="n">
        <x:v>1</x:v>
      </x:c>
      <x:c r="E29" s="124" t="n">
        <x:v>3</x:v>
      </x:c>
      <x:c r="F29" s="124" t="n">
        <x:v>5</x:v>
      </x:c>
      <x:c r="G29" s="124" t="n">
        <x:v>8</x:v>
      </x:c>
      <x:c r="H29" s="133" t="n">
        <x:f>$C29*D29/1000000</x:f>
        <x:v>0.07</x:v>
      </x:c>
      <x:c r="I29" s="133" t="n">
        <x:f>$C29*E29/1000000</x:f>
        <x:v>0.21</x:v>
      </x:c>
      <x:c r="J29" s="133" t="n">
        <x:f>$C29*F29/1000000</x:f>
        <x:v>0.35</x:v>
      </x:c>
      <x:c r="K29" s="134" t="n">
        <x:f>$C29*G29/1000000</x:f>
        <x:v>0.56</x:v>
      </x:c>
    </x:row>
    <x:row r="30">
      <x:c r="A30" s="13" t="str">
        <x:v>GTM</x:v>
      </x:c>
      <x:c r="B30" s="14" t="str">
        <x:v>Key Account / Partnerships</x:v>
      </x:c>
      <x:c r="C30" s="124" t="n">
        <x:v>68000</x:v>
      </x:c>
      <x:c r="D30" s="124" t="n">
        <x:v>1</x:v>
      </x:c>
      <x:c r="E30" s="124" t="n">
        <x:v>3</x:v>
      </x:c>
      <x:c r="F30" s="124" t="n">
        <x:v>6</x:v>
      </x:c>
      <x:c r="G30" s="124" t="n">
        <x:v>10</x:v>
      </x:c>
      <x:c r="H30" s="133" t="n">
        <x:f>$C30*D30/1000000</x:f>
        <x:v>0.068</x:v>
      </x:c>
      <x:c r="I30" s="133" t="n">
        <x:f>$C30*E30/1000000</x:f>
        <x:v>0.204</x:v>
      </x:c>
      <x:c r="J30" s="133" t="n">
        <x:f>$C30*F30/1000000</x:f>
        <x:v>0.408</x:v>
      </x:c>
      <x:c r="K30" s="134" t="n">
        <x:f>$C30*G30/1000000</x:f>
        <x:v>0.68</x:v>
      </x:c>
    </x:row>
    <x:row r="31">
      <x:c r="A31" s="13" t="str">
        <x:v>GTM</x:v>
      </x:c>
      <x:c r="B31" s="14" t="str">
        <x:v>Marketing / Brand / Web</x:v>
      </x:c>
      <x:c r="C31" s="124" t="n">
        <x:v>55000</x:v>
      </x:c>
      <x:c r="D31" s="124" t="n">
        <x:v>1</x:v>
      </x:c>
      <x:c r="E31" s="124" t="n">
        <x:v>2</x:v>
      </x:c>
      <x:c r="F31" s="124" t="n">
        <x:v>4</x:v>
      </x:c>
      <x:c r="G31" s="124" t="n">
        <x:v>6</x:v>
      </x:c>
      <x:c r="H31" s="133" t="n">
        <x:f>$C31*D31/1000000</x:f>
        <x:v>0.055</x:v>
      </x:c>
      <x:c r="I31" s="133" t="n">
        <x:f>$C31*E31/1000000</x:f>
        <x:v>0.11</x:v>
      </x:c>
      <x:c r="J31" s="133" t="n">
        <x:f>$C31*F31/1000000</x:f>
        <x:v>0.22</x:v>
      </x:c>
      <x:c r="K31" s="134" t="n">
        <x:f>$C31*G31/1000000</x:f>
        <x:v>0.33</x:v>
      </x:c>
    </x:row>
    <x:row r="32">
      <x:c r="A32" s="13" t="str">
        <x:v>GTM</x:v>
      </x:c>
      <x:c r="B32" s="14" t="str">
        <x:v>Content / Investor Materials</x:v>
      </x:c>
      <x:c r="C32" s="124" t="n">
        <x:v>52000</x:v>
      </x:c>
      <x:c r="D32" s="124" t="n">
        <x:v>0.5</x:v>
      </x:c>
      <x:c r="E32" s="124" t="n">
        <x:v>1</x:v>
      </x:c>
      <x:c r="F32" s="124" t="n">
        <x:v>2</x:v>
      </x:c>
      <x:c r="G32" s="124" t="n">
        <x:v>3</x:v>
      </x:c>
      <x:c r="H32" s="133" t="n">
        <x:f>$C32*D32/1000000</x:f>
        <x:v>0.026</x:v>
      </x:c>
      <x:c r="I32" s="133" t="n">
        <x:f>$C32*E32/1000000</x:f>
        <x:v>0.052</x:v>
      </x:c>
      <x:c r="J32" s="133" t="n">
        <x:f>$C32*F32/1000000</x:f>
        <x:v>0.104</x:v>
      </x:c>
      <x:c r="K32" s="134" t="n">
        <x:f>$C32*G32/1000000</x:f>
        <x:v>0.156</x:v>
      </x:c>
    </x:row>
    <x:row r="33">
      <x:c r="A33" s="13" t="str">
        <x:v>GTM</x:v>
      </x:c>
      <x:c r="B33" s="14" t="str">
        <x:v>Sales Ops / CRM</x:v>
      </x:c>
      <x:c r="C33" s="124" t="n">
        <x:v>52000</x:v>
      </x:c>
      <x:c r="D33" s="124" t="n">
        <x:v>0.5</x:v>
      </x:c>
      <x:c r="E33" s="124" t="n">
        <x:v>1</x:v>
      </x:c>
      <x:c r="F33" s="124" t="n">
        <x:v>2</x:v>
      </x:c>
      <x:c r="G33" s="124" t="n">
        <x:v>3</x:v>
      </x:c>
      <x:c r="H33" s="133" t="n">
        <x:f>$C33*D33/1000000</x:f>
        <x:v>0.026</x:v>
      </x:c>
      <x:c r="I33" s="133" t="n">
        <x:f>$C33*E33/1000000</x:f>
        <x:v>0.052</x:v>
      </x:c>
      <x:c r="J33" s="133" t="n">
        <x:f>$C33*F33/1000000</x:f>
        <x:v>0.104</x:v>
      </x:c>
      <x:c r="K33" s="134" t="n">
        <x:f>$C33*G33/1000000</x:f>
        <x:v>0.156</x:v>
      </x:c>
    </x:row>
    <x:row r="34">
      <x:c r="A34" s="13" t="str">
        <x:v>G&amp;A</x:v>
      </x:c>
      <x:c r="B34" s="14" t="str">
        <x:v>Finance / Admin</x:v>
      </x:c>
      <x:c r="C34" s="124" t="n">
        <x:v>48000</x:v>
      </x:c>
      <x:c r="D34" s="124" t="n">
        <x:v>1</x:v>
      </x:c>
      <x:c r="E34" s="124" t="n">
        <x:v>2</x:v>
      </x:c>
      <x:c r="F34" s="124" t="n">
        <x:v>4</x:v>
      </x:c>
      <x:c r="G34" s="124" t="n">
        <x:v>5</x:v>
      </x:c>
      <x:c r="H34" s="133" t="n">
        <x:f>$C34*D34/1000000</x:f>
        <x:v>0.048</x:v>
      </x:c>
      <x:c r="I34" s="133" t="n">
        <x:f>$C34*E34/1000000</x:f>
        <x:v>0.096</x:v>
      </x:c>
      <x:c r="J34" s="133" t="n">
        <x:f>$C34*F34/1000000</x:f>
        <x:v>0.192</x:v>
      </x:c>
      <x:c r="K34" s="134" t="n">
        <x:f>$C34*G34/1000000</x:f>
        <x:v>0.24</x:v>
      </x:c>
    </x:row>
    <x:row r="35">
      <x:c r="A35" s="13" t="str">
        <x:v>G&amp;A</x:v>
      </x:c>
      <x:c r="B35" s="14" t="str">
        <x:v>Legal / Compliance / IP</x:v>
      </x:c>
      <x:c r="C35" s="124" t="n">
        <x:v>70000</x:v>
      </x:c>
      <x:c r="D35" s="124" t="n">
        <x:v>0.5</x:v>
      </x:c>
      <x:c r="E35" s="124" t="n">
        <x:v>1</x:v>
      </x:c>
      <x:c r="F35" s="124" t="n">
        <x:v>2</x:v>
      </x:c>
      <x:c r="G35" s="124" t="n">
        <x:v>3</x:v>
      </x:c>
      <x:c r="H35" s="133" t="n">
        <x:f>$C35*D35/1000000</x:f>
        <x:v>0.035</x:v>
      </x:c>
      <x:c r="I35" s="133" t="n">
        <x:f>$C35*E35/1000000</x:f>
        <x:v>0.07</x:v>
      </x:c>
      <x:c r="J35" s="133" t="n">
        <x:f>$C35*F35/1000000</x:f>
        <x:v>0.14</x:v>
      </x:c>
      <x:c r="K35" s="134" t="n">
        <x:f>$C35*G35/1000000</x:f>
        <x:v>0.21</x:v>
      </x:c>
    </x:row>
    <x:row r="36">
      <x:c r="A36" s="13" t="str">
        <x:v>G&amp;A</x:v>
      </x:c>
      <x:c r="B36" s="14" t="str">
        <x:v>People / HR</x:v>
      </x:c>
      <x:c r="C36" s="124" t="n">
        <x:v>55000</x:v>
      </x:c>
      <x:c r="D36" s="124" t="n">
        <x:v>0</x:v>
      </x:c>
      <x:c r="E36" s="124" t="n">
        <x:v>1</x:v>
      </x:c>
      <x:c r="F36" s="124" t="n">
        <x:v>2</x:v>
      </x:c>
      <x:c r="G36" s="124" t="n">
        <x:v>4</x:v>
      </x:c>
      <x:c r="H36" s="133" t="n">
        <x:f>$C36*D36/1000000</x:f>
        <x:v>0</x:v>
      </x:c>
      <x:c r="I36" s="133" t="n">
        <x:f>$C36*E36/1000000</x:f>
        <x:v>0.055</x:v>
      </x:c>
      <x:c r="J36" s="133" t="n">
        <x:f>$C36*F36/1000000</x:f>
        <x:v>0.11</x:v>
      </x:c>
      <x:c r="K36" s="134" t="n">
        <x:f>$C36*G36/1000000</x:f>
        <x:v>0.22</x:v>
      </x:c>
    </x:row>
    <x:row r="37">
      <x:c r="A37" s="13" t="str">
        <x:v>G&amp;A</x:v>
      </x:c>
      <x:c r="B37" s="14" t="str">
        <x:v>Office / Procurement</x:v>
      </x:c>
      <x:c r="C37" s="124" t="n">
        <x:v>42000</x:v>
      </x:c>
      <x:c r="D37" s="124" t="n">
        <x:v>0.5</x:v>
      </x:c>
      <x:c r="E37" s="124" t="n">
        <x:v>1</x:v>
      </x:c>
      <x:c r="F37" s="124" t="n">
        <x:v>2</x:v>
      </x:c>
      <x:c r="G37" s="124" t="n">
        <x:v>3</x:v>
      </x:c>
      <x:c r="H37" s="133" t="n">
        <x:f>$C37*D37/1000000</x:f>
        <x:v>0.021</x:v>
      </x:c>
      <x:c r="I37" s="133" t="n">
        <x:f>$C37*E37/1000000</x:f>
        <x:v>0.042</x:v>
      </x:c>
      <x:c r="J37" s="133" t="n">
        <x:f>$C37*F37/1000000</x:f>
        <x:v>0.084</x:v>
      </x:c>
      <x:c r="K37" s="134" t="n">
        <x:f>$C37*G37/1000000</x:f>
        <x:v>0.126</x:v>
      </x:c>
    </x:row>
    <x:row r="38">
      <x:c r="A38" s="130" t="str">
        <x:v>TOTAL PERSONAL</x:v>
      </x:c>
      <x:c r="B38" s="29" t="str"/>
      <x:c r="C38" s="29" t="str"/>
      <x:c r="D38" s="29" t="n">
        <x:f>SUM(D6:D37)</x:f>
        <x:v>36</x:v>
      </x:c>
      <x:c r="E38" s="29" t="n">
        <x:f>SUM(E6:E37)</x:f>
        <x:v>91</x:v>
      </x:c>
      <x:c r="F38" s="29" t="n">
        <x:f>SUM(F6:F37)</x:f>
        <x:v>162</x:v>
      </x:c>
      <x:c r="G38" s="29" t="n">
        <x:f>SUM(G6:G37)</x:f>
        <x:v>256</x:v>
      </x:c>
      <x:c r="H38" s="29" t="n">
        <x:f>SUM(H6:H37)</x:f>
        <x:v>2.4195</x:v>
      </x:c>
      <x:c r="I38" s="29" t="n">
        <x:f>SUM(I6:I37)</x:f>
        <x:v>5.880999999999999</x:v>
      </x:c>
      <x:c r="J38" s="29" t="n">
        <x:f>SUM(J6:J37)</x:f>
        <x:v>10.235999999999999</x:v>
      </x:c>
      <x:c r="K38" s="30" t="n">
        <x:f>SUM(K6:K37)</x:f>
        <x:v>16.038000000000004</x:v>
      </x:c>
    </x:row>
    <x:row r="39">
      <x:c r="A39" s="13"/>
      <x:c r="B39" s="14"/>
      <x:c r="C39" s="14"/>
      <x:c r="D39" s="14"/>
      <x:c r="E39" s="14"/>
      <x:c r="F39" s="14"/>
      <x:c r="G39" s="14"/>
      <x:c r="H39" s="14"/>
      <x:c r="I39" s="14"/>
      <x:c r="J39" s="14"/>
      <x:c r="K39" s="15"/>
    </x:row>
    <x:row r="40">
      <x:c r="A40" s="13"/>
      <x:c r="B40" s="14"/>
      <x:c r="C40" s="14"/>
      <x:c r="D40" s="14"/>
      <x:c r="E40" s="14"/>
      <x:c r="F40" s="14"/>
      <x:c r="G40" s="14"/>
      <x:c r="H40" s="14"/>
      <x:c r="I40" s="14"/>
      <x:c r="J40" s="14"/>
      <x:c r="K40" s="15"/>
    </x:row>
    <x:row r="41">
      <x:c r="A41" s="13"/>
      <x:c r="B41" s="14"/>
      <x:c r="C41" s="14"/>
      <x:c r="D41" s="14"/>
      <x:c r="E41" s="14"/>
      <x:c r="F41" s="14"/>
      <x:c r="G41" s="14"/>
      <x:c r="H41" s="14"/>
      <x:c r="I41" s="14"/>
      <x:c r="J41" s="14"/>
      <x:c r="K41" s="15"/>
    </x:row>
    <x:row r="42">
      <x:c r="A42" s="13"/>
      <x:c r="B42" s="14"/>
      <x:c r="C42" s="14"/>
      <x:c r="D42" s="14"/>
      <x:c r="E42" s="14"/>
      <x:c r="F42" s="14"/>
      <x:c r="G42" s="14"/>
      <x:c r="H42" s="14"/>
      <x:c r="I42" s="14"/>
      <x:c r="J42" s="14"/>
      <x:c r="K42" s="15"/>
    </x:row>
    <x:row r="43">
      <x:c r="A43" s="13"/>
      <x:c r="B43" s="14"/>
      <x:c r="C43" s="14"/>
      <x:c r="D43" s="14"/>
      <x:c r="E43" s="14"/>
      <x:c r="F43" s="14"/>
      <x:c r="G43" s="14"/>
      <x:c r="H43" s="14"/>
      <x:c r="I43" s="14"/>
      <x:c r="J43" s="14"/>
      <x:c r="K43" s="15"/>
    </x:row>
    <x:row r="44">
      <x:c r="A44" s="13"/>
      <x:c r="B44" s="14"/>
      <x:c r="C44" s="14"/>
      <x:c r="D44" s="14"/>
      <x:c r="E44" s="14"/>
      <x:c r="F44" s="14"/>
      <x:c r="G44" s="14"/>
      <x:c r="H44" s="14"/>
      <x:c r="I44" s="14"/>
      <x:c r="J44" s="14"/>
      <x:c r="K44" s="15"/>
    </x:row>
    <x:row r="45">
      <x:c r="A45" s="13"/>
      <x:c r="B45" s="14"/>
      <x:c r="C45" s="14"/>
      <x:c r="D45" s="14"/>
      <x:c r="E45" s="14"/>
      <x:c r="F45" s="14"/>
      <x:c r="G45" s="14"/>
      <x:c r="H45" s="14"/>
      <x:c r="I45" s="14"/>
      <x:c r="J45" s="14"/>
      <x:c r="K45" s="15"/>
    </x:row>
    <x:row r="46">
      <x:c r="A46" s="13"/>
      <x:c r="B46" s="14"/>
      <x:c r="C46" s="14"/>
      <x:c r="D46" s="14"/>
      <x:c r="E46" s="14"/>
      <x:c r="F46" s="14"/>
      <x:c r="G46" s="14"/>
      <x:c r="H46" s="14"/>
      <x:c r="I46" s="14"/>
      <x:c r="J46" s="14"/>
      <x:c r="K46" s="15"/>
    </x:row>
    <x:row r="47">
      <x:c r="A47" s="13"/>
      <x:c r="B47" s="14"/>
      <x:c r="C47" s="14"/>
      <x:c r="D47" s="14"/>
      <x:c r="E47" s="14"/>
      <x:c r="F47" s="14"/>
      <x:c r="G47" s="14"/>
      <x:c r="H47" s="14"/>
      <x:c r="I47" s="14"/>
      <x:c r="J47" s="14"/>
      <x:c r="K47" s="15"/>
    </x:row>
    <x:row r="48">
      <x:c r="A48" s="13"/>
      <x:c r="B48" s="14"/>
      <x:c r="C48" s="14"/>
      <x:c r="D48" s="14"/>
      <x:c r="E48" s="14"/>
      <x:c r="F48" s="14"/>
      <x:c r="G48" s="14"/>
      <x:c r="H48" s="14"/>
      <x:c r="I48" s="14"/>
      <x:c r="J48" s="14"/>
      <x:c r="K48" s="15"/>
    </x:row>
    <x:row r="49">
      <x:c r="A49" s="13"/>
      <x:c r="B49" s="14"/>
      <x:c r="C49" s="14"/>
      <x:c r="D49" s="14"/>
      <x:c r="E49" s="14"/>
      <x:c r="F49" s="14"/>
      <x:c r="G49" s="14"/>
      <x:c r="H49" s="14"/>
      <x:c r="I49" s="14"/>
      <x:c r="J49" s="14"/>
      <x:c r="K49" s="15"/>
    </x:row>
    <x:row r="50">
      <x:c r="A50" s="13"/>
      <x:c r="B50" s="14"/>
      <x:c r="C50" s="14"/>
      <x:c r="D50" s="14"/>
      <x:c r="E50" s="14"/>
      <x:c r="F50" s="14"/>
      <x:c r="G50" s="14"/>
      <x:c r="H50" s="14"/>
      <x:c r="I50" s="14"/>
      <x:c r="J50" s="14"/>
      <x:c r="K50" s="15"/>
    </x:row>
    <x:row r="51">
      <x:c r="A51" s="13"/>
      <x:c r="B51" s="14"/>
      <x:c r="C51" s="14"/>
      <x:c r="D51" s="14"/>
      <x:c r="E51" s="14"/>
      <x:c r="F51" s="14"/>
      <x:c r="G51" s="14"/>
      <x:c r="H51" s="14"/>
      <x:c r="I51" s="14"/>
      <x:c r="J51" s="14"/>
      <x:c r="K51" s="15"/>
    </x:row>
    <x:row r="52">
      <x:c r="A52" s="13"/>
      <x:c r="B52" s="14"/>
      <x:c r="C52" s="14"/>
      <x:c r="D52" s="14"/>
      <x:c r="E52" s="14"/>
      <x:c r="F52" s="14"/>
      <x:c r="G52" s="14"/>
      <x:c r="H52" s="14"/>
      <x:c r="I52" s="14"/>
      <x:c r="J52" s="14"/>
      <x:c r="K52" s="15"/>
    </x:row>
    <x:row r="53">
      <x:c r="A53" s="13"/>
      <x:c r="B53" s="14"/>
      <x:c r="C53" s="14"/>
      <x:c r="D53" s="14"/>
      <x:c r="E53" s="14"/>
      <x:c r="F53" s="14"/>
      <x:c r="G53" s="14"/>
      <x:c r="H53" s="14"/>
      <x:c r="I53" s="14"/>
      <x:c r="J53" s="14"/>
      <x:c r="K53" s="15"/>
    </x:row>
    <x:row r="54">
      <x:c r="A54" s="13"/>
      <x:c r="B54" s="14"/>
      <x:c r="C54" s="14"/>
      <x:c r="D54" s="14"/>
      <x:c r="E54" s="14"/>
      <x:c r="F54" s="14"/>
      <x:c r="G54" s="14"/>
      <x:c r="H54" s="14"/>
      <x:c r="I54" s="14"/>
      <x:c r="J54" s="14"/>
      <x:c r="K54" s="15"/>
    </x:row>
    <x:row r="55">
      <x:c r="A55" s="13"/>
      <x:c r="B55" s="14"/>
      <x:c r="C55" s="14"/>
      <x:c r="D55" s="14"/>
      <x:c r="E55" s="14"/>
      <x:c r="F55" s="14"/>
      <x:c r="G55" s="14"/>
      <x:c r="H55" s="14"/>
      <x:c r="I55" s="14"/>
      <x:c r="J55" s="14"/>
      <x:c r="K55" s="15"/>
    </x:row>
    <x:row r="56">
      <x:c r="A56" s="13"/>
      <x:c r="B56" s="14"/>
      <x:c r="C56" s="14"/>
      <x:c r="D56" s="14"/>
      <x:c r="E56" s="14"/>
      <x:c r="F56" s="14"/>
      <x:c r="G56" s="14"/>
      <x:c r="H56" s="14"/>
      <x:c r="I56" s="14"/>
      <x:c r="J56" s="14"/>
      <x:c r="K56" s="15"/>
    </x:row>
    <x:row r="57">
      <x:c r="A57" s="13"/>
      <x:c r="B57" s="14"/>
      <x:c r="C57" s="14"/>
      <x:c r="D57" s="14"/>
      <x:c r="E57" s="14"/>
      <x:c r="F57" s="14"/>
      <x:c r="G57" s="14"/>
      <x:c r="H57" s="14"/>
      <x:c r="I57" s="14"/>
      <x:c r="J57" s="14"/>
      <x:c r="K57" s="15"/>
    </x:row>
    <x:row r="58">
      <x:c r="A58" s="13"/>
      <x:c r="B58" s="14"/>
      <x:c r="C58" s="14"/>
      <x:c r="D58" s="14"/>
      <x:c r="E58" s="14"/>
      <x:c r="F58" s="14"/>
      <x:c r="G58" s="14"/>
      <x:c r="H58" s="14"/>
      <x:c r="I58" s="14"/>
      <x:c r="J58" s="14"/>
      <x:c r="K58" s="15"/>
    </x:row>
    <x:row r="59">
      <x:c r="A59" s="13"/>
      <x:c r="B59" s="14"/>
      <x:c r="C59" s="14"/>
      <x:c r="D59" s="14"/>
      <x:c r="E59" s="14"/>
      <x:c r="F59" s="14"/>
      <x:c r="G59" s="14"/>
      <x:c r="H59" s="14"/>
      <x:c r="I59" s="14"/>
      <x:c r="J59" s="14"/>
      <x:c r="K59" s="15"/>
    </x:row>
    <x:row r="60">
      <x:c r="A60" s="13"/>
      <x:c r="B60" s="14"/>
      <x:c r="C60" s="14"/>
      <x:c r="D60" s="14"/>
      <x:c r="E60" s="14"/>
      <x:c r="F60" s="14"/>
      <x:c r="G60" s="14"/>
      <x:c r="H60" s="14"/>
      <x:c r="I60" s="14"/>
      <x:c r="J60" s="14"/>
      <x:c r="K60" s="15"/>
    </x:row>
    <x:row r="61">
      <x:c r="A61" s="13"/>
      <x:c r="B61" s="14"/>
      <x:c r="C61" s="14"/>
      <x:c r="D61" s="14"/>
      <x:c r="E61" s="14"/>
      <x:c r="F61" s="14"/>
      <x:c r="G61" s="14"/>
      <x:c r="H61" s="14"/>
      <x:c r="I61" s="14"/>
      <x:c r="J61" s="14"/>
      <x:c r="K61" s="15"/>
    </x:row>
    <x:row r="62">
      <x:c r="A62" s="13"/>
      <x:c r="B62" s="14"/>
      <x:c r="C62" s="14"/>
      <x:c r="D62" s="14"/>
      <x:c r="E62" s="14"/>
      <x:c r="F62" s="14"/>
      <x:c r="G62" s="14"/>
      <x:c r="H62" s="14"/>
      <x:c r="I62" s="14"/>
      <x:c r="J62" s="14"/>
      <x:c r="K62" s="15"/>
    </x:row>
    <x:row r="63">
      <x:c r="A63" s="13"/>
      <x:c r="B63" s="14"/>
      <x:c r="C63" s="14"/>
      <x:c r="D63" s="14"/>
      <x:c r="E63" s="14"/>
      <x:c r="F63" s="14"/>
      <x:c r="G63" s="14"/>
      <x:c r="H63" s="14"/>
      <x:c r="I63" s="14"/>
      <x:c r="J63" s="14"/>
      <x:c r="K63" s="15"/>
    </x:row>
    <x:row r="64">
      <x:c r="A64" s="13"/>
      <x:c r="B64" s="14"/>
      <x:c r="C64" s="14"/>
      <x:c r="D64" s="14"/>
      <x:c r="E64" s="14"/>
      <x:c r="F64" s="14"/>
      <x:c r="G64" s="14"/>
      <x:c r="H64" s="14"/>
      <x:c r="I64" s="14"/>
      <x:c r="J64" s="14"/>
      <x:c r="K64" s="15"/>
    </x:row>
    <x:row r="65">
      <x:c r="A65" s="13"/>
      <x:c r="B65" s="14"/>
      <x:c r="C65" s="14"/>
      <x:c r="D65" s="14"/>
      <x:c r="E65" s="14"/>
      <x:c r="F65" s="14"/>
      <x:c r="G65" s="14"/>
      <x:c r="H65" s="14"/>
      <x:c r="I65" s="14"/>
      <x:c r="J65" s="14"/>
      <x:c r="K65" s="15"/>
    </x:row>
    <x:row r="66">
      <x:c r="A66" s="13"/>
      <x:c r="B66" s="14"/>
      <x:c r="C66" s="14"/>
      <x:c r="D66" s="14"/>
      <x:c r="E66" s="14"/>
      <x:c r="F66" s="14"/>
      <x:c r="G66" s="14"/>
      <x:c r="H66" s="14"/>
      <x:c r="I66" s="14"/>
      <x:c r="J66" s="14"/>
      <x:c r="K66" s="15"/>
    </x:row>
    <x:row r="67">
      <x:c r="A67" s="13"/>
      <x:c r="B67" s="14"/>
      <x:c r="C67" s="14"/>
      <x:c r="D67" s="14"/>
      <x:c r="E67" s="14"/>
      <x:c r="F67" s="14"/>
      <x:c r="G67" s="14"/>
      <x:c r="H67" s="14"/>
      <x:c r="I67" s="14"/>
      <x:c r="J67" s="14"/>
      <x:c r="K67" s="15"/>
    </x:row>
    <x:row r="68">
      <x:c r="A68" s="13"/>
      <x:c r="B68" s="14"/>
      <x:c r="C68" s="14"/>
      <x:c r="D68" s="14"/>
      <x:c r="E68" s="14"/>
      <x:c r="F68" s="14"/>
      <x:c r="G68" s="14"/>
      <x:c r="H68" s="14"/>
      <x:c r="I68" s="14"/>
      <x:c r="J68" s="14"/>
      <x:c r="K68" s="15"/>
    </x:row>
    <x:row r="69">
      <x:c r="A69" s="13"/>
      <x:c r="B69" s="14"/>
      <x:c r="C69" s="14"/>
      <x:c r="D69" s="14"/>
      <x:c r="E69" s="14"/>
      <x:c r="F69" s="14"/>
      <x:c r="G69" s="14"/>
      <x:c r="H69" s="14"/>
      <x:c r="I69" s="14"/>
      <x:c r="J69" s="14"/>
      <x:c r="K69" s="15"/>
    </x:row>
    <x:row r="70">
      <x:c r="A70" s="13"/>
      <x:c r="B70" s="14"/>
      <x:c r="C70" s="14"/>
      <x:c r="D70" s="14"/>
      <x:c r="E70" s="14"/>
      <x:c r="F70" s="14"/>
      <x:c r="G70" s="14"/>
      <x:c r="H70" s="14"/>
      <x:c r="I70" s="14"/>
      <x:c r="J70" s="14"/>
      <x:c r="K70" s="15"/>
    </x:row>
    <x:row r="71">
      <x:c r="A71" s="13"/>
      <x:c r="B71" s="14"/>
      <x:c r="C71" s="14"/>
      <x:c r="D71" s="14"/>
      <x:c r="E71" s="14"/>
      <x:c r="F71" s="14"/>
      <x:c r="G71" s="14"/>
      <x:c r="H71" s="14"/>
      <x:c r="I71" s="14"/>
      <x:c r="J71" s="14"/>
      <x:c r="K71" s="15"/>
    </x:row>
    <x:row r="72">
      <x:c r="A72" s="13"/>
      <x:c r="B72" s="14"/>
      <x:c r="C72" s="14"/>
      <x:c r="D72" s="14"/>
      <x:c r="E72" s="14"/>
      <x:c r="F72" s="14"/>
      <x:c r="G72" s="14"/>
      <x:c r="H72" s="14"/>
      <x:c r="I72" s="14"/>
      <x:c r="J72" s="14"/>
      <x:c r="K72" s="15"/>
    </x:row>
    <x:row r="73">
      <x:c r="A73" s="13"/>
      <x:c r="B73" s="14"/>
      <x:c r="C73" s="14"/>
      <x:c r="D73" s="14"/>
      <x:c r="E73" s="14"/>
      <x:c r="F73" s="14"/>
      <x:c r="G73" s="14"/>
      <x:c r="H73" s="14"/>
      <x:c r="I73" s="14"/>
      <x:c r="J73" s="14"/>
      <x:c r="K73" s="15"/>
    </x:row>
    <x:row r="74">
      <x:c r="A74" s="13"/>
      <x:c r="B74" s="14"/>
      <x:c r="C74" s="14"/>
      <x:c r="D74" s="14"/>
      <x:c r="E74" s="14"/>
      <x:c r="F74" s="14"/>
      <x:c r="G74" s="14"/>
      <x:c r="H74" s="14"/>
      <x:c r="I74" s="14"/>
      <x:c r="J74" s="14"/>
      <x:c r="K74" s="15"/>
    </x:row>
    <x:row r="75">
      <x:c r="A75" s="13"/>
      <x:c r="B75" s="14"/>
      <x:c r="C75" s="14"/>
      <x:c r="D75" s="14"/>
      <x:c r="E75" s="14"/>
      <x:c r="F75" s="14"/>
      <x:c r="G75" s="14"/>
      <x:c r="H75" s="14"/>
      <x:c r="I75" s="14"/>
      <x:c r="J75" s="14"/>
      <x:c r="K75" s="15"/>
    </x:row>
    <x:row r="76">
      <x:c r="A76" s="13"/>
      <x:c r="B76" s="14"/>
      <x:c r="C76" s="14"/>
      <x:c r="D76" s="14"/>
      <x:c r="E76" s="14"/>
      <x:c r="F76" s="14"/>
      <x:c r="G76" s="14"/>
      <x:c r="H76" s="14"/>
      <x:c r="I76" s="14"/>
      <x:c r="J76" s="14"/>
      <x:c r="K76" s="15"/>
    </x:row>
    <x:row r="77">
      <x:c r="A77" s="13"/>
      <x:c r="B77" s="14"/>
      <x:c r="C77" s="14"/>
      <x:c r="D77" s="14"/>
      <x:c r="E77" s="14"/>
      <x:c r="F77" s="14"/>
      <x:c r="G77" s="14"/>
      <x:c r="H77" s="14"/>
      <x:c r="I77" s="14"/>
      <x:c r="J77" s="14"/>
      <x:c r="K77" s="15"/>
    </x:row>
    <x:row r="78">
      <x:c r="A78" s="13"/>
      <x:c r="B78" s="14"/>
      <x:c r="C78" s="14"/>
      <x:c r="D78" s="14"/>
      <x:c r="E78" s="14"/>
      <x:c r="F78" s="14"/>
      <x:c r="G78" s="14"/>
      <x:c r="H78" s="14"/>
      <x:c r="I78" s="14"/>
      <x:c r="J78" s="14"/>
      <x:c r="K78" s="15"/>
    </x:row>
    <x:row r="79">
      <x:c r="A79" s="13"/>
      <x:c r="B79" s="14"/>
      <x:c r="C79" s="14"/>
      <x:c r="D79" s="14"/>
      <x:c r="E79" s="14"/>
      <x:c r="F79" s="14"/>
      <x:c r="G79" s="14"/>
      <x:c r="H79" s="14"/>
      <x:c r="I79" s="14"/>
      <x:c r="J79" s="14"/>
      <x:c r="K79" s="15"/>
    </x:row>
    <x:row r="80">
      <x:c r="A80" s="13"/>
      <x:c r="B80" s="14"/>
      <x:c r="C80" s="14"/>
      <x:c r="D80" s="14"/>
      <x:c r="E80" s="14"/>
      <x:c r="F80" s="14"/>
      <x:c r="G80" s="14"/>
      <x:c r="H80" s="14"/>
      <x:c r="I80" s="14"/>
      <x:c r="J80" s="14"/>
      <x:c r="K80" s="15"/>
    </x:row>
    <x:row r="81">
      <x:c r="A81" s="13"/>
      <x:c r="B81" s="14"/>
      <x:c r="C81" s="14"/>
      <x:c r="D81" s="14"/>
      <x:c r="E81" s="14"/>
      <x:c r="F81" s="14"/>
      <x:c r="G81" s="14"/>
      <x:c r="H81" s="14"/>
      <x:c r="I81" s="14"/>
      <x:c r="J81" s="14"/>
      <x:c r="K81" s="15"/>
    </x:row>
    <x:row r="82">
      <x:c r="A82" s="13"/>
      <x:c r="B82" s="14"/>
      <x:c r="C82" s="14"/>
      <x:c r="D82" s="14"/>
      <x:c r="E82" s="14"/>
      <x:c r="F82" s="14"/>
      <x:c r="G82" s="14"/>
      <x:c r="H82" s="14"/>
      <x:c r="I82" s="14"/>
      <x:c r="J82" s="14"/>
      <x:c r="K82" s="15"/>
    </x:row>
    <x:row r="83">
      <x:c r="A83" s="13"/>
      <x:c r="B83" s="14"/>
      <x:c r="C83" s="14"/>
      <x:c r="D83" s="14"/>
      <x:c r="E83" s="14"/>
      <x:c r="F83" s="14"/>
      <x:c r="G83" s="14"/>
      <x:c r="H83" s="14"/>
      <x:c r="I83" s="14"/>
      <x:c r="J83" s="14"/>
      <x:c r="K83" s="15"/>
    </x:row>
    <x:row r="84">
      <x:c r="A84" s="13"/>
      <x:c r="B84" s="14"/>
      <x:c r="C84" s="14"/>
      <x:c r="D84" s="14"/>
      <x:c r="E84" s="14"/>
      <x:c r="F84" s="14"/>
      <x:c r="G84" s="14"/>
      <x:c r="H84" s="14"/>
      <x:c r="I84" s="14"/>
      <x:c r="J84" s="14"/>
      <x:c r="K84" s="15"/>
    </x:row>
    <x:row r="85">
      <x:c r="A85" s="13"/>
      <x:c r="B85" s="14"/>
      <x:c r="C85" s="14"/>
      <x:c r="D85" s="14"/>
      <x:c r="E85" s="14"/>
      <x:c r="F85" s="14"/>
      <x:c r="G85" s="14"/>
      <x:c r="H85" s="14"/>
      <x:c r="I85" s="14"/>
      <x:c r="J85" s="14"/>
      <x:c r="K85" s="15"/>
    </x:row>
    <x:row r="86">
      <x:c r="A86" s="13"/>
      <x:c r="B86" s="14"/>
      <x:c r="C86" s="14"/>
      <x:c r="D86" s="14"/>
      <x:c r="E86" s="14"/>
      <x:c r="F86" s="14"/>
      <x:c r="G86" s="14"/>
      <x:c r="H86" s="14"/>
      <x:c r="I86" s="14"/>
      <x:c r="J86" s="14"/>
      <x:c r="K86" s="15"/>
    </x:row>
    <x:row r="87">
      <x:c r="A87" s="13"/>
      <x:c r="B87" s="14"/>
      <x:c r="C87" s="14"/>
      <x:c r="D87" s="14"/>
      <x:c r="E87" s="14"/>
      <x:c r="F87" s="14"/>
      <x:c r="G87" s="14"/>
      <x:c r="H87" s="14"/>
      <x:c r="I87" s="14"/>
      <x:c r="J87" s="14"/>
      <x:c r="K87" s="15"/>
    </x:row>
    <x:row r="88">
      <x:c r="A88" s="13"/>
      <x:c r="B88" s="14"/>
      <x:c r="C88" s="14"/>
      <x:c r="D88" s="14"/>
      <x:c r="E88" s="14"/>
      <x:c r="F88" s="14"/>
      <x:c r="G88" s="14"/>
      <x:c r="H88" s="14"/>
      <x:c r="I88" s="14"/>
      <x:c r="J88" s="14"/>
      <x:c r="K88" s="15"/>
    </x:row>
    <x:row r="89">
      <x:c r="A89" s="13"/>
      <x:c r="B89" s="14"/>
      <x:c r="C89" s="14"/>
      <x:c r="D89" s="14"/>
      <x:c r="E89" s="14"/>
      <x:c r="F89" s="14"/>
      <x:c r="G89" s="14"/>
      <x:c r="H89" s="14"/>
      <x:c r="I89" s="14"/>
      <x:c r="J89" s="14"/>
      <x:c r="K89" s="15"/>
    </x:row>
    <x:row r="90">
      <x:c r="A90" s="13"/>
      <x:c r="B90" s="14"/>
      <x:c r="C90" s="14"/>
      <x:c r="D90" s="14"/>
      <x:c r="E90" s="14"/>
      <x:c r="F90" s="14"/>
      <x:c r="G90" s="14"/>
      <x:c r="H90" s="14"/>
      <x:c r="I90" s="14"/>
      <x:c r="J90" s="14"/>
      <x:c r="K90" s="15"/>
    </x:row>
    <x:row r="91">
      <x:c r="A91" s="13"/>
      <x:c r="B91" s="14"/>
      <x:c r="C91" s="14"/>
      <x:c r="D91" s="14"/>
      <x:c r="E91" s="14"/>
      <x:c r="F91" s="14"/>
      <x:c r="G91" s="14"/>
      <x:c r="H91" s="14"/>
      <x:c r="I91" s="14"/>
      <x:c r="J91" s="14"/>
      <x:c r="K91" s="15"/>
    </x:row>
    <x:row r="92">
      <x:c r="A92" s="13"/>
      <x:c r="B92" s="14"/>
      <x:c r="C92" s="14"/>
      <x:c r="D92" s="14"/>
      <x:c r="E92" s="14"/>
      <x:c r="F92" s="14"/>
      <x:c r="G92" s="14"/>
      <x:c r="H92" s="14"/>
      <x:c r="I92" s="14"/>
      <x:c r="J92" s="14"/>
      <x:c r="K92" s="15"/>
    </x:row>
    <x:row r="93">
      <x:c r="A93" s="13"/>
      <x:c r="B93" s="14"/>
      <x:c r="C93" s="14"/>
      <x:c r="D93" s="14"/>
      <x:c r="E93" s="14"/>
      <x:c r="F93" s="14"/>
      <x:c r="G93" s="14"/>
      <x:c r="H93" s="14"/>
      <x:c r="I93" s="14"/>
      <x:c r="J93" s="14"/>
      <x:c r="K93" s="15"/>
    </x:row>
    <x:row r="94">
      <x:c r="A94" s="13"/>
      <x:c r="B94" s="14"/>
      <x:c r="C94" s="14"/>
      <x:c r="D94" s="14"/>
      <x:c r="E94" s="14"/>
      <x:c r="F94" s="14"/>
      <x:c r="G94" s="14"/>
      <x:c r="H94" s="14"/>
      <x:c r="I94" s="14"/>
      <x:c r="J94" s="14"/>
      <x:c r="K94" s="15"/>
    </x:row>
    <x:row r="95">
      <x:c r="A95" s="16"/>
      <x:c r="B95" s="17"/>
      <x:c r="C95" s="17"/>
      <x:c r="D95" s="17"/>
      <x:c r="E95" s="17"/>
      <x:c r="F95" s="17"/>
      <x:c r="G95" s="17"/>
      <x:c r="H95" s="17"/>
      <x:c r="I95" s="17"/>
      <x:c r="J95" s="17"/>
      <x:c r="K95" s="1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0" hidden="0" customWidth="1"/>
    <x:col min="3" max="3" width="14" hidden="0" customWidth="1"/>
    <x:col min="4" max="4" width="14" hidden="0" customWidth="1"/>
    <x:col min="5" max="5" width="14" hidden="0" customWidth="1"/>
    <x:col min="6" max="6" width="34" hidden="0" customWidth="1"/>
    <x:col min="7" max="7" width="34" hidden="0" customWidth="1"/>
    <x:col min="8" max="8" width="44" hidden="0" customWidth="1"/>
  </x:cols>
  <x:sheetData>
    <x:row r="1">
      <x:c r="A1" s="107" t="str">
        <x:v>04 OPEX operativo</x:v>
      </x:c>
      <x:c r="B1" s="108" t="str"/>
      <x:c r="C1" s="108" t="str"/>
      <x:c r="D1" s="108" t="str"/>
      <x:c r="E1" s="108" t="str"/>
      <x:c r="F1" s="109" t="str"/>
      <x:c r="G1" s="109" t="str"/>
      <x:c r="H1" s="110" t="str"/>
    </x:row>
    <x:row r="2">
      <x:c r="A2" s="111" t="str">
        <x:v>Detalle no-personal por concepto y driver. EUR M.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Area</x:v>
      </x:c>
      <x:c r="B5" s="115" t="str">
        <x:v>Concepto</x:v>
      </x:c>
      <x:c r="C5" s="115" t="str">
        <x:v>2026/27</x:v>
      </x:c>
      <x:c r="D5" s="115" t="str">
        <x:v>2028</x:v>
      </x:c>
      <x:c r="E5" s="115" t="str">
        <x:v>2029</x:v>
      </x:c>
      <x:c r="F5" s="115" t="str">
        <x:v>2030</x:v>
      </x:c>
      <x:c r="G5" s="115" t="str">
        <x:v>Driver</x:v>
      </x:c>
      <x:c r="H5" s="129" t="str">
        <x:v>Notas</x:v>
      </x:c>
    </x:row>
    <x:row r="6">
      <x:c r="A6" s="13" t="str">
        <x:v>Producto y Tecnologia</x:v>
      </x:c>
      <x:c r="B6" s="14" t="n">
        <x:f>0.10+'01_Supuestos'!B9*0.14/1000000+'02_Detalle_Ingresos'!B42*0.002</x:f>
        <x:v>0.16113405600000003</x:v>
      </x:c>
      <x:c r="C6" s="133" t="n">
        <x:f>0.10+'01_Supuestos'!C9*0.14/1000000+'02_Detalle_Ingresos'!C42*0.002</x:f>
        <x:v>0.3921822794666667</x:v>
      </x:c>
      <x:c r="D6" s="133" t="n">
        <x:f>0.10+'01_Supuestos'!D9*0.14/1000000+'02_Detalle_Ingresos'!D42*0.002</x:f>
        <x:v>0.7754311444666667</x:v>
      </x:c>
      <x:c r="E6" s="133" t="n">
        <x:f>0.10+'01_Supuestos'!E9*0.14/1000000+'02_Detalle_Ingresos'!E42*0.002</x:f>
        <x:v>1.3955964800666667</x:v>
      </x:c>
      <x:c r="F6" s="133"/>
      <x:c r="G6" s="14" t="str">
        <x:v>Stock vivo + ingresos</x:v>
      </x:c>
      <x:c r="H6" s="15" t="str">
        <x:v>Infraestructura core, bases de datos, almacenamiento y procesamiento.</x:v>
      </x:c>
    </x:row>
    <x:row r="7">
      <x:c r="A7" s="13" t="str">
        <x:v>Producto y Tecnologia</x:v>
      </x:c>
      <x:c r="B7" s="14" t="n">
        <x:f>0.04+'03_Detalle_Personal'!D38*1800/1000000</x:f>
        <x:v>0.1048</x:v>
      </x:c>
      <x:c r="C7" s="133" t="n">
        <x:f>0.04+'03_Detalle_Personal'!E38*1800/1000000</x:f>
        <x:v>0.2038</x:v>
      </x:c>
      <x:c r="D7" s="133" t="n">
        <x:f>0.04+'03_Detalle_Personal'!F38*1800/1000000</x:f>
        <x:v>0.3316</x:v>
      </x:c>
      <x:c r="E7" s="133" t="n">
        <x:f>0.04+'03_Detalle_Personal'!G38*1800/1000000</x:f>
        <x:v>0.5008</x:v>
      </x:c>
      <x:c r="F7" s="133"/>
      <x:c r="G7" s="14" t="str">
        <x:v>FTE + base</x:v>
      </x:c>
      <x:c r="H7" s="15" t="str">
        <x:v>Seguridad, logs, copias, hardening, monitorizacion y continuidad.</x:v>
      </x:c>
    </x:row>
    <x:row r="8">
      <x:c r="A8" s="13" t="str">
        <x:v>Producto y Tecnologia</x:v>
      </x:c>
      <x:c r="B8" s="14" t="n">
        <x:f>0.05+'03_Detalle_Personal'!D38*6500/1000000</x:f>
        <x:v>0.28400000000000003</x:v>
      </x:c>
      <x:c r="C8" s="133" t="n">
        <x:f>0.05+'03_Detalle_Personal'!E38*6500/1000000</x:f>
        <x:v>0.6415000000000001</x:v>
      </x:c>
      <x:c r="D8" s="133" t="n">
        <x:f>0.05+'03_Detalle_Personal'!F38*6500/1000000</x:f>
        <x:v>1.103</x:v>
      </x:c>
      <x:c r="E8" s="133" t="n">
        <x:f>0.05+'03_Detalle_Personal'!G38*6500/1000000</x:f>
        <x:v>1.714</x:v>
      </x:c>
      <x:c r="F8" s="133"/>
      <x:c r="G8" s="14" t="str">
        <x:v>FTE</x:v>
      </x:c>
      <x:c r="H8" s="15" t="str">
        <x:v>Herramientas de desarrollo, diseño, gestion, test y soporte.</x:v>
      </x:c>
    </x:row>
    <x:row r="9">
      <x:c r="A9" s="13" t="str">
        <x:v>Producto y Tecnologia</x:v>
      </x:c>
      <x:c r="B9" s="14" t="n">
        <x:f>0.03+'02_Detalle_Ingresos'!B42*0.004</x:f>
        <x:v>0.06826811199999999</x:v>
      </x:c>
      <x:c r="C9" s="133" t="n">
        <x:f>0.03+'02_Detalle_Ingresos'!C42*0.004</x:f>
        <x:v>0.20547122559999997</x:v>
      </x:c>
      <x:c r="D9" s="133" t="n">
        <x:f>0.03+'02_Detalle_Ingresos'!D42*0.004</x:f>
        <x:v>0.40767562226666665</x:v>
      </x:c>
      <x:c r="E9" s="133" t="n">
        <x:f>0.03+'02_Detalle_Ingresos'!E42*0.004</x:f>
        <x:v>0.7981129601333333</x:v>
      </x:c>
      <x:c r="F9" s="133"/>
      <x:c r="G9" s="14" t="str">
        <x:v>Ingresos</x:v>
      </x:c>
      <x:c r="H9" s="15" t="str">
        <x:v>Uso de API, generacion de proyectos, validaciones y automatizaciones.</x:v>
      </x:c>
    </x:row>
    <x:row r="10">
      <x:c r="A10" s="13" t="str">
        <x:v>Producto y Tecnologia</x:v>
      </x:c>
      <x:c r="B10" s="14" t="n">
        <x:v>0.08</x:v>
      </x:c>
      <x:c r="C10" s="133" t="n">
        <x:v>0.16</x:v>
      </x:c>
      <x:c r="D10" s="133" t="n">
        <x:v>0.25</x:v>
      </x:c>
      <x:c r="E10" s="133" t="n">
        <x:v>0.35</x:v>
      </x:c>
      <x:c r="F10" s="133"/>
      <x:c r="G10" s="14" t="str">
        <x:v>Input ramp</x:v>
      </x:c>
      <x:c r="H10" s="15" t="str">
        <x:v>Ambientes de preproduccion, hardware de pruebas y bancos de ensayo.</x:v>
      </x:c>
    </x:row>
    <x:row r="11">
      <x:c r="A11" s="13" t="str">
        <x:v>Producto y Tecnologia</x:v>
      </x:c>
      <x:c r="B11" s="14" t="n">
        <x:f>0.05+'01_Supuestos'!B8*0.05/1000000</x:f>
        <x:v>0.065</x:v>
      </x:c>
      <x:c r="C11" s="133" t="n">
        <x:f>0.05+'01_Supuestos'!C8*0.05/1000000</x:f>
        <x:v>0.10801666666666666</x:v>
      </x:c>
      <x:c r="D11" s="133" t="n">
        <x:f>0.05+'01_Supuestos'!D8*0.05/1000000</x:f>
        <x:v>0.15076666666666666</x:v>
      </x:c>
      <x:c r="E11" s="133" t="n">
        <x:f>0.05+'01_Supuestos'!E8*0.05/1000000</x:f>
        <x:v>0.2017666666666667</x:v>
      </x:c>
      <x:c r="F11" s="133"/>
      <x:c r="G11" s="14" t="str">
        <x:v>m2 emitidos</x:v>
      </x:c>
      <x:c r="H11" s="15" t="str">
        <x:v>Pruebas de regresion, integracion, fiabilidad y calidad de releases.</x:v>
      </x:c>
    </x:row>
    <x:row r="12">
      <x:c r="A12" s="13" t="str">
        <x:v>Producto y Tecnologia</x:v>
      </x:c>
      <x:c r="B12" s="14" t="n">
        <x:f>0.04+'01_Supuestos'!B9*0.04/1000000</x:f>
        <x:v>0.052000000000000005</x:v>
      </x:c>
      <x:c r="C12" s="133" t="n">
        <x:f>0.04+'01_Supuestos'!C9*0.04/1000000</x:f>
        <x:v>0.09841333333333332</x:v>
      </x:c>
      <x:c r="D12" s="133" t="n">
        <x:f>0.04+'01_Supuestos'!D9*0.04/1000000</x:f>
        <x:v>0.17902666666666667</x:v>
      </x:c>
      <x:c r="E12" s="133" t="n">
        <x:f>0.04+'01_Supuestos'!E9*0.04/1000000</x:f>
        <x:v>0.30044</x:v>
      </x:c>
      <x:c r="F12" s="133"/>
      <x:c r="G12" s="14" t="str">
        <x:v>Stock vivo</x:v>
      </x:c>
      <x:c r="H12" s="15" t="str">
        <x:v>Data pipelines, trazas, control de performance y escalabilidad.</x:v>
      </x:c>
    </x:row>
    <x:row r="13">
      <x:c r="A13" s="13" t="str">
        <x:v>Operaciones / Delivery</x:v>
      </x:c>
      <x:c r="B13" s="14" t="n">
        <x:f>0.06+'01_Supuestos'!B8*0.12/1000000</x:f>
        <x:v>0.096</x:v>
      </x:c>
      <x:c r="C13" s="133" t="n">
        <x:f>0.06+'01_Supuestos'!C8*0.12/1000000</x:f>
        <x:v>0.19924</x:v>
      </x:c>
      <x:c r="D13" s="133" t="n">
        <x:f>0.06+'01_Supuestos'!D8*0.12/1000000</x:f>
        <x:v>0.30184</x:v>
      </x:c>
      <x:c r="E13" s="133" t="n">
        <x:f>0.06+'01_Supuestos'!E8*0.12/1000000</x:f>
        <x:v>0.42424</x:v>
      </x:c>
      <x:c r="F13" s="133"/>
      <x:c r="G13" s="14" t="str">
        <x:v>m2 emitidos</x:v>
      </x:c>
      <x:c r="H13" s="15" t="str">
        <x:v>Lectores, neuronas fijas/portatiles, sensores y kits de validacion.</x:v>
      </x:c>
    </x:row>
    <x:row r="14">
      <x:c r="A14" s="13" t="str">
        <x:v>Operaciones / Delivery</x:v>
      </x:c>
      <x:c r="B14" s="14" t="n">
        <x:f>0.04+'01_Supuestos'!B8*0.08/1000000</x:f>
        <x:v>0.064</x:v>
      </x:c>
      <x:c r="C14" s="133" t="n">
        <x:f>0.04+'01_Supuestos'!C8*0.08/1000000</x:f>
        <x:v>0.13282666666666665</x:v>
      </x:c>
      <x:c r="D14" s="133" t="n">
        <x:f>0.04+'01_Supuestos'!D8*0.08/1000000</x:f>
        <x:v>0.20122666666666666</x:v>
      </x:c>
      <x:c r="E14" s="133" t="n">
        <x:f>0.04+'01_Supuestos'!E8*0.08/1000000</x:f>
        <x:v>0.28282666666666667</x:v>
      </x:c>
      <x:c r="F14" s="133"/>
      <x:c r="G14" s="14" t="str">
        <x:v>m2 emitidos</x:v>
      </x:c>
      <x:c r="H14" s="15" t="str">
        <x:v>Material de implantacion, pruebas de campo y reposicion.</x:v>
      </x:c>
    </x:row>
    <x:row r="15">
      <x:c r="A15" s="13" t="str">
        <x:v>Operaciones / Delivery</x:v>
      </x:c>
      <x:c r="B15" s="14" t="n">
        <x:f>0.08+'02_Detalle_Ingresos'!B42*0.004</x:f>
        <x:v>0.11826811200000001</x:v>
      </x:c>
      <x:c r="C15" s="133" t="n">
        <x:f>0.08+'02_Detalle_Ingresos'!C42*0.004</x:f>
        <x:v>0.25547122559999996</x:v>
      </x:c>
      <x:c r="D15" s="133" t="n">
        <x:f>0.08+'02_Detalle_Ingresos'!D42*0.004</x:f>
        <x:v>0.4576756222666667</x:v>
      </x:c>
      <x:c r="E15" s="133" t="n">
        <x:f>0.08+'02_Detalle_Ingresos'!E42*0.004</x:f>
        <x:v>0.8481129601333333</x:v>
      </x:c>
      <x:c r="F15" s="133"/>
      <x:c r="G15" s="14" t="str">
        <x:v>Ingresos</x:v>
      </x:c>
      <x:c r="H15" s="15" t="str">
        <x:v>Ensayos, validacion externa, certificaciones y controles de terceros.</x:v>
      </x:c>
    </x:row>
    <x:row r="16">
      <x:c r="A16" s="13" t="str">
        <x:v>Operaciones / Delivery</x:v>
      </x:c>
      <x:c r="B16" s="14" t="n">
        <x:f>'01_Supuestos'!B10*0.028</x:f>
        <x:v>0.14</x:v>
      </x:c>
      <x:c r="C16" s="133" t="n">
        <x:f>'01_Supuestos'!C10*0.028</x:f>
        <x:v>0.308</x:v>
      </x:c>
      <x:c r="D16" s="133" t="n">
        <x:f>'01_Supuestos'!D10*0.028</x:f>
        <x:v>0.47600000000000003</x:v>
      </x:c>
      <x:c r="E16" s="133" t="n">
        <x:f>'01_Supuestos'!E10*0.028</x:f>
        <x:v>0.644</x:v>
      </x:c>
      <x:c r="F16" s="133"/>
      <x:c r="G16" s="14" t="str">
        <x:v>Partners activos</x:v>
      </x:c>
      <x:c r="H16" s="15" t="str">
        <x:v>Alta de partners, parametrizacion, sesiones tecnicas y soporte inicial.</x:v>
      </x:c>
    </x:row>
    <x:row r="17">
      <x:c r="A17" s="13" t="str">
        <x:v>Operaciones / Delivery</x:v>
      </x:c>
      <x:c r="B17" s="14" t="n">
        <x:f>0.04+'01_Supuestos'!B10*0.012</x:f>
        <x:v>0.1</x:v>
      </x:c>
      <x:c r="C17" s="133" t="n">
        <x:f>0.04+'01_Supuestos'!C10*0.012</x:f>
        <x:v>0.17200000000000001</x:v>
      </x:c>
      <x:c r="D17" s="133" t="n">
        <x:f>0.04+'01_Supuestos'!D10*0.012</x:f>
        <x:v>0.24400000000000002</x:v>
      </x:c>
      <x:c r="E17" s="133" t="n">
        <x:f>0.04+'01_Supuestos'!E10*0.012</x:f>
        <x:v>0.316</x:v>
      </x:c>
      <x:c r="F17" s="133"/>
      <x:c r="G17" s="14" t="str">
        <x:v>Partners activos</x:v>
      </x:c>
      <x:c r="H17" s="15" t="str">
        <x:v>Contenidos, manuales, protocolos y entrenamiento de red.</x:v>
      </x:c>
    </x:row>
    <x:row r="18">
      <x:c r="A18" s="13" t="str">
        <x:v>Operaciones / Delivery</x:v>
      </x:c>
      <x:c r="B18" s="14" t="n">
        <x:f>'01_Supuestos'!B10*0.035</x:f>
        <x:v>0.17500000000000002</x:v>
      </x:c>
      <x:c r="C18" s="133" t="n">
        <x:f>'01_Supuestos'!C10*0.035</x:f>
        <x:v>0.385</x:v>
      </x:c>
      <x:c r="D18" s="133" t="n">
        <x:f>'01_Supuestos'!D10*0.035</x:f>
        <x:v>0.5950000000000001</x:v>
      </x:c>
      <x:c r="E18" s="133" t="n">
        <x:f>'01_Supuestos'!E10*0.035</x:f>
        <x:v>0.805</x:v>
      </x:c>
      <x:c r="F18" s="133"/>
      <x:c r="G18" s="14" t="str">
        <x:v>Partners activos</x:v>
      </x:c>
      <x:c r="H18" s="15" t="str">
        <x:v>Despliegue, visitas, puesta en marcha y supervision de casos.</x:v>
      </x:c>
    </x:row>
    <x:row r="19">
      <x:c r="A19" s="13" t="str">
        <x:v>Operaciones / Delivery</x:v>
      </x:c>
      <x:c r="B19" s="14" t="n">
        <x:f>0.03+'01_Supuestos'!B8*0.05/1000000</x:f>
        <x:v>0.045</x:v>
      </x:c>
      <x:c r="C19" s="133" t="n">
        <x:f>0.03+'01_Supuestos'!C8*0.05/1000000</x:f>
        <x:v>0.08801666666666666</x:v>
      </x:c>
      <x:c r="D19" s="133" t="n">
        <x:f>0.03+'01_Supuestos'!D8*0.05/1000000</x:f>
        <x:v>0.13076666666666667</x:v>
      </x:c>
      <x:c r="E19" s="133" t="n">
        <x:f>0.03+'01_Supuestos'!E8*0.05/1000000</x:f>
        <x:v>0.1817666666666667</x:v>
      </x:c>
      <x:c r="F19" s="133"/>
      <x:c r="G19" s="14" t="str">
        <x:v>m2 emitidos</x:v>
      </x:c>
      <x:c r="H19" s="15" t="str">
        <x:v>Sustituciones, desplazamientos urgentes y logistica de incidencias.</x:v>
      </x:c>
    </x:row>
    <x:row r="20">
      <x:c r="A20" s="13" t="str">
        <x:v>Operaciones / Delivery</x:v>
      </x:c>
      <x:c r="B20" s="14" t="n">
        <x:v>0.05</x:v>
      </x:c>
      <x:c r="C20" s="133" t="n">
        <x:v>0.12</x:v>
      </x:c>
      <x:c r="D20" s="133" t="n">
        <x:v>0.2</x:v>
      </x:c>
      <x:c r="E20" s="133" t="n">
        <x:v>0.3</x:v>
      </x:c>
      <x:c r="F20" s="133"/>
      <x:c r="G20" s="14" t="str">
        <x:v>Input ramp</x:v>
      </x:c>
      <x:c r="H20" s="15" t="str">
        <x:v>Stock de demostracion, prototipos y material comercial/operativo.</x:v>
      </x:c>
    </x:row>
    <x:row r="21">
      <x:c r="A21" s="13" t="str">
        <x:v>Customer Success / Data</x:v>
      </x:c>
      <x:c r="B21" s="14" t="n">
        <x:f>0.03+'03_Detalle_Personal'!D38*1200/1000000</x:f>
        <x:v>0.0732</x:v>
      </x:c>
      <x:c r="C21" s="133" t="n">
        <x:f>0.03+'03_Detalle_Personal'!E38*1200/1000000</x:f>
        <x:v>0.1392</x:v>
      </x:c>
      <x:c r="D21" s="133" t="n">
        <x:f>0.03+'03_Detalle_Personal'!F38*1200/1000000</x:f>
        <x:v>0.2244</x:v>
      </x:c>
      <x:c r="E21" s="133" t="n">
        <x:f>0.03+'03_Detalle_Personal'!G38*1200/1000000</x:f>
        <x:v>0.33719999999999994</x:v>
      </x:c>
      <x:c r="F21" s="133"/>
      <x:c r="G21" s="14" t="str">
        <x:v>FTE</x:v>
      </x:c>
      <x:c r="H21" s="15" t="str">
        <x:v>Sistemas de soporte, bases de conocimiento y atencion a clientes.</x:v>
      </x:c>
    </x:row>
    <x:row r="22">
      <x:c r="A22" s="13" t="str">
        <x:v>Customer Success / Data</x:v>
      </x:c>
      <x:c r="B22" s="14" t="n">
        <x:f>0.05+'01_Supuestos'!B9*0.07/1000000</x:f>
        <x:v>0.07100000000000001</x:v>
      </x:c>
      <x:c r="C22" s="133" t="n">
        <x:f>0.05+'01_Supuestos'!C9*0.07/1000000</x:f>
        <x:v>0.15222333333333335</x:v>
      </x:c>
      <x:c r="D22" s="133" t="n">
        <x:f>0.05+'01_Supuestos'!D9*0.07/1000000</x:f>
        <x:v>0.2932966666666667</x:v>
      </x:c>
      <x:c r="E22" s="133" t="n">
        <x:f>0.05+'01_Supuestos'!E9*0.07/1000000</x:f>
        <x:v>0.50577</x:v>
      </x:c>
      <x:c r="F22" s="133"/>
      <x:c r="G22" s="14" t="str">
        <x:v>Stock vivo</x:v>
      </x:c>
      <x:c r="H22" s="15" t="str">
        <x:v>Explotacion de datos, reporting recurrente y control de evidencias.</x:v>
      </x:c>
    </x:row>
    <x:row r="23">
      <x:c r="A23" s="13" t="str">
        <x:v>Customer Success / Data</x:v>
      </x:c>
      <x:c r="B23" s="14" t="n">
        <x:f>0.03+'02_Detalle_Ingresos'!B42*0.0015</x:f>
        <x:v>0.044350542</x:v>
      </x:c>
      <x:c r="C23" s="133" t="n">
        <x:f>0.03+'02_Detalle_Ingresos'!C42*0.0015</x:f>
        <x:v>0.09580170959999999</x:v>
      </x:c>
      <x:c r="D23" s="133" t="n">
        <x:f>0.03+'02_Detalle_Ingresos'!D42*0.0015</x:f>
        <x:v>0.17162835835</x:v>
      </x:c>
      <x:c r="E23" s="133" t="n">
        <x:f>0.03+'02_Detalle_Ingresos'!E42*0.0015</x:f>
        <x:v>0.31804236005</x:v>
      </x:c>
      <x:c r="F23" s="133"/>
      <x:c r="G23" s="14" t="str">
        <x:v>Ingresos</x:v>
      </x:c>
      <x:c r="H23" s="15" t="str">
        <x:v>Monitorizacion de SLA, calidad y cumplimiento operativo.</x:v>
      </x:c>
    </x:row>
    <x:row r="24">
      <x:c r="A24" s="13" t="str">
        <x:v>Customer Success / Data</x:v>
      </x:c>
      <x:c r="B24" s="14" t="n">
        <x:f>0.02+'01_Supuestos'!B10*0.008</x:f>
        <x:v>0.06</x:v>
      </x:c>
      <x:c r="C24" s="133" t="n">
        <x:f>0.02+'01_Supuestos'!C10*0.008</x:f>
        <x:v>0.108</x:v>
      </x:c>
      <x:c r="D24" s="133" t="n">
        <x:f>0.02+'01_Supuestos'!D10*0.008</x:f>
        <x:v>0.156</x:v>
      </x:c>
      <x:c r="E24" s="133" t="n">
        <x:f>0.02+'01_Supuestos'!E10*0.008</x:f>
        <x:v>0.204</x:v>
      </x:c>
      <x:c r="F24" s="133"/>
      <x:c r="G24" s="14" t="str">
        <x:v>Partners activos</x:v>
      </x:c>
      <x:c r="H24" s="15" t="str">
        <x:v>Biblioteca documental, plantillas de entrega y guias de uso.</x:v>
      </x:c>
    </x:row>
    <x:row r="25">
      <x:c r="A25" s="13" t="str">
        <x:v>GTM / Marketing</x:v>
      </x:c>
      <x:c r="B25" s="14" t="n">
        <x:v>0.2</x:v>
      </x:c>
      <x:c r="C25" s="133" t="n">
        <x:v>0.45</x:v>
      </x:c>
      <x:c r="D25" s="133" t="n">
        <x:v>0.7</x:v>
      </x:c>
      <x:c r="E25" s="133" t="n">
        <x:v>1</x:v>
      </x:c>
      <x:c r="F25" s="133"/>
      <x:c r="G25" s="14" t="str">
        <x:v>Input ramp</x:v>
      </x:c>
      <x:c r="H25" s="15" t="str">
        <x:v>Marca, web, narrativa, piezas comerciales y documentacion publica.</x:v>
      </x:c>
    </x:row>
    <x:row r="26">
      <x:c r="A26" s="13" t="str">
        <x:v>GTM / Marketing</x:v>
      </x:c>
      <x:c r="B26" s="14" t="n">
        <x:v>0.09</x:v>
      </x:c>
      <x:c r="C26" s="133" t="n">
        <x:v>0.25</x:v>
      </x:c>
      <x:c r="D26" s="133" t="n">
        <x:v>0.45</x:v>
      </x:c>
      <x:c r="E26" s="133" t="n">
        <x:v>0.7</x:v>
      </x:c>
      <x:c r="F26" s="133"/>
      <x:c r="G26" s="14" t="str">
        <x:v>Input ramp</x:v>
      </x:c>
      <x:c r="H26" s="15" t="str">
        <x:v>Demostradores, presencia sectorial, jornadas y pruebas comerciales.</x:v>
      </x:c>
    </x:row>
    <x:row r="27">
      <x:c r="A27" s="13" t="str">
        <x:v>GTM / Marketing</x:v>
      </x:c>
      <x:c r="B27" s="14" t="n">
        <x:f>'02_Detalle_Ingresos'!B42*0.02</x:f>
        <x:v>0.19134056000000002</x:v>
      </x:c>
      <x:c r="C27" s="133" t="n">
        <x:f>'02_Detalle_Ingresos'!C42*0.02</x:f>
        <x:v>0.8773561279999998</x:v>
      </x:c>
      <x:c r="D27" s="133" t="n">
        <x:f>'02_Detalle_Ingresos'!D42*0.02</x:f>
        <x:v>1.8883781113333333</x:v>
      </x:c>
      <x:c r="E27" s="133" t="n">
        <x:f>'02_Detalle_Ingresos'!E42*0.02</x:f>
        <x:v>3.840564800666667</x:v>
      </x:c>
      <x:c r="F27" s="133"/>
      <x:c r="G27" s="14" t="str">
        <x:v>Ingresos</x:v>
      </x:c>
      <x:c r="H27" s="15" t="str">
        <x:v>Comisiones, referral, canal y soporte a partners comerciales.</x:v>
      </x:c>
    </x:row>
    <x:row r="28">
      <x:c r="A28" s="13" t="str">
        <x:v>GTM / Marketing</x:v>
      </x:c>
      <x:c r="B28" s="14" t="n">
        <x:f>0.04+'01_Supuestos'!B10*0.015</x:f>
        <x:v>0.11499999999999999</x:v>
      </x:c>
      <x:c r="C28" s="133" t="n">
        <x:f>0.04+'01_Supuestos'!C10*0.015</x:f>
        <x:v>0.205</x:v>
      </x:c>
      <x:c r="D28" s="133" t="n">
        <x:f>0.04+'01_Supuestos'!D10*0.015</x:f>
        <x:v>0.295</x:v>
      </x:c>
      <x:c r="E28" s="133" t="n">
        <x:f>0.04+'01_Supuestos'!E10*0.015</x:f>
        <x:v>0.38499999999999995</x:v>
      </x:c>
      <x:c r="F28" s="133"/>
      <x:c r="G28" s="14" t="str">
        <x:v>Partners activos</x:v>
      </x:c>
      <x:c r="H28" s="15" t="str">
        <x:v>Materiales, sesiones, campañas con partners y soporte a venta.</x:v>
      </x:c>
    </x:row>
    <x:row r="29">
      <x:c r="A29" s="13" t="str">
        <x:v>GTM / Marketing</x:v>
      </x:c>
      <x:c r="B29" s="14" t="n">
        <x:v>0.05</x:v>
      </x:c>
      <x:c r="C29" s="133" t="n">
        <x:v>0.1</x:v>
      </x:c>
      <x:c r="D29" s="133" t="n">
        <x:v>0.14</x:v>
      </x:c>
      <x:c r="E29" s="133" t="n">
        <x:v>0.18</x:v>
      </x:c>
      <x:c r="F29" s="133"/>
      <x:c r="G29" s="14" t="str">
        <x:v>Input ramp</x:v>
      </x:c>
      <x:c r="H29" s="15" t="str">
        <x:v>Documentos, decks, actualizaciones y material de reporting externo.</x:v>
      </x:c>
    </x:row>
    <x:row r="30">
      <x:c r="A30" s="13" t="str">
        <x:v>GTM / Marketing</x:v>
      </x:c>
      <x:c r="B30" s="14" t="n">
        <x:f>0.03+'03_Detalle_Personal'!D38*1000/1000000</x:f>
        <x:v>0.066</x:v>
      </x:c>
      <x:c r="C30" s="133" t="n">
        <x:f>0.03+'03_Detalle_Personal'!E38*1000/1000000</x:f>
        <x:v>0.121</x:v>
      </x:c>
      <x:c r="D30" s="133" t="n">
        <x:f>0.03+'03_Detalle_Personal'!F38*1000/1000000</x:f>
        <x:v>0.192</x:v>
      </x:c>
      <x:c r="E30" s="133" t="n">
        <x:f>0.03+'03_Detalle_Personal'!G38*1000/1000000</x:f>
        <x:v>0.28600000000000003</x:v>
      </x:c>
      <x:c r="F30" s="133"/>
      <x:c r="G30" s="14" t="str">
        <x:v>FTE</x:v>
      </x:c>
      <x:c r="H30" s="15" t="str">
        <x:v>CRM, analitica comercial, reporting de pipeline y automatizaciones.</x:v>
      </x:c>
    </x:row>
    <x:row r="31">
      <x:c r="A31" s="13" t="str">
        <x:v>G&amp;A</x:v>
      </x:c>
      <x:c r="B31" s="14" t="n">
        <x:v>0.16</x:v>
      </x:c>
      <x:c r="C31" s="133" t="n">
        <x:v>0.28</x:v>
      </x:c>
      <x:c r="D31" s="133" t="n">
        <x:v>0.42</x:v>
      </x:c>
      <x:c r="E31" s="133" t="n">
        <x:v>0.58</x:v>
      </x:c>
      <x:c r="F31" s="133"/>
      <x:c r="G31" s="14" t="str">
        <x:v>Input ramp</x:v>
      </x:c>
      <x:c r="H31" s="15" t="str">
        <x:v>Legal, propiedad intelectual, contratos, compliance y privacidad.</x:v>
      </x:c>
    </x:row>
    <x:row r="32">
      <x:c r="A32" s="13" t="str">
        <x:v>G&amp;A</x:v>
      </x:c>
      <x:c r="B32" s="14" t="n">
        <x:f>0.14+'02_Detalle_Ingresos'!B42*0.003</x:f>
        <x:v>0.168701084</x:v>
      </x:c>
      <x:c r="C32" s="133" t="n">
        <x:f>0.14+'02_Detalle_Ingresos'!C42*0.003</x:f>
        <x:v>0.2716034192</x:v>
      </x:c>
      <x:c r="D32" s="133" t="n">
        <x:f>0.14+'02_Detalle_Ingresos'!D42*0.003</x:f>
        <x:v>0.42325671670000004</x:v>
      </x:c>
      <x:c r="E32" s="133" t="n">
        <x:f>0.14+'02_Detalle_Ingresos'!E42*0.003</x:f>
        <x:v>0.7160847201</x:v>
      </x:c>
      <x:c r="F32" s="133"/>
      <x:c r="G32" s="14" t="str">
        <x:v>Ingresos</x:v>
      </x:c>
      <x:c r="H32" s="15" t="str">
        <x:v>Administracion, seguros, reporting financiero, bancos y control.</x:v>
      </x:c>
    </x:row>
    <x:row r="33">
      <x:c r="A33" s="13" t="str">
        <x:v>G&amp;A</x:v>
      </x:c>
      <x:c r="B33" s="14" t="n">
        <x:f>'03_Detalle_Personal'!D38*5500/1000000</x:f>
        <x:v>0.198</x:v>
      </x:c>
      <x:c r="C33" s="133" t="n">
        <x:f>'03_Detalle_Personal'!E38*5500/1000000</x:f>
        <x:v>0.5005</x:v>
      </x:c>
      <x:c r="D33" s="133" t="n">
        <x:f>'03_Detalle_Personal'!F38*5500/1000000</x:f>
        <x:v>0.891</x:v>
      </x:c>
      <x:c r="E33" s="133" t="n">
        <x:f>'03_Detalle_Personal'!G38*5500/1000000</x:f>
        <x:v>1.408</x:v>
      </x:c>
      <x:c r="F33" s="133"/>
      <x:c r="G33" s="14" t="str">
        <x:v>FTE</x:v>
      </x:c>
      <x:c r="H33" s="15" t="str">
        <x:v>Puestos, equipos, hub operativo, comunicaciones y facilities.</x:v>
      </x:c>
    </x:row>
    <x:row r="34">
      <x:c r="A34" s="13" t="str">
        <x:v>G&amp;A</x:v>
      </x:c>
      <x:c r="B34" s="14" t="n">
        <x:v>0.14</x:v>
      </x:c>
      <x:c r="C34" s="133" t="n">
        <x:v>0.24</x:v>
      </x:c>
      <x:c r="D34" s="133" t="n">
        <x:v>0.35</x:v>
      </x:c>
      <x:c r="E34" s="133" t="n">
        <x:v>0.5</x:v>
      </x:c>
      <x:c r="F34" s="133"/>
      <x:c r="G34" s="14" t="str">
        <x:v>Input ramp</x:v>
      </x:c>
      <x:c r="H34" s="15" t="str">
        <x:v>Auditoria, asesores especialistas, reporting y soporte corporativo.</x:v>
      </x:c>
    </x:row>
    <x:row r="35">
      <x:c r="A35" s="13" t="str">
        <x:v>G&amp;A</x:v>
      </x:c>
      <x:c r="B35" s="14" t="n">
        <x:f>0.03+'03_Detalle_Personal'!D38*2500/1000000</x:f>
        <x:v>0.12</x:v>
      </x:c>
      <x:c r="C35" s="133" t="n">
        <x:f>0.03+'03_Detalle_Personal'!E38*2500/1000000</x:f>
        <x:v>0.2575</x:v>
      </x:c>
      <x:c r="D35" s="133" t="n">
        <x:f>0.03+'03_Detalle_Personal'!F38*2500/1000000</x:f>
        <x:v>0.43500000000000005</x:v>
      </x:c>
      <x:c r="E35" s="133" t="n">
        <x:f>0.03+'03_Detalle_Personal'!G38*2500/1000000</x:f>
        <x:v>0.67</x:v>
      </x:c>
      <x:c r="F35" s="133"/>
      <x:c r="G35" s="14" t="str">
        <x:v>FTE</x:v>
      </x:c>
      <x:c r="H35" s="15" t="str">
        <x:v>Seleccion, formacion, onboarding interno y cultura operativa.</x:v>
      </x:c>
    </x:row>
    <x:row r="36">
      <x:c r="A36" s="13" t="str">
        <x:v>G&amp;A</x:v>
      </x:c>
      <x:c r="B36" s="14" t="n">
        <x:v>0.04</x:v>
      </x:c>
      <x:c r="C36" s="133" t="n">
        <x:v>0.08</x:v>
      </x:c>
      <x:c r="D36" s="133" t="n">
        <x:v>0.12</x:v>
      </x:c>
      <x:c r="E36" s="133" t="n">
        <x:v>0.18</x:v>
      </x:c>
      <x:c r="F36" s="133"/>
      <x:c r="G36" s="14" t="str">
        <x:v>Input ramp</x:v>
      </x:c>
      <x:c r="H36" s="15" t="str">
        <x:v>Gobernanza, secretariado, consejo, reporting accionarial.</x:v>
      </x:c>
    </x:row>
    <x:row r="37">
      <x:c r="A37" s="13" t="str">
        <x:v>Reserva / contingencia</x:v>
      </x:c>
      <x:c r="B37" s="14" t="n">
        <x:f>SUM(B6:B36)*0.04</x:f>
        <x:v>0.13564249864</x:v>
      </x:c>
      <x:c r="C37" s="133" t="n">
        <x:f>SUM(C6:C36)*0.04</x:f>
        <x:v>0.30392490616533335</x:v>
      </x:c>
      <x:c r="D37" s="133" t="n">
        <x:f>SUM(D6:D36)*0.04</x:f>
        <x:v>0.5181587563486667</x:v>
      </x:c>
      <x:c r="E37" s="133" t="n">
        <x:f>SUM(E6:E36)*0.04</x:f>
        <x:v>0.8349329712460002</x:v>
      </x:c>
      <x:c r="F37" s="133"/>
      <x:c r="G37" s="14" t="str">
        <x:v>% subtotal no-personal</x:v>
      </x:c>
      <x:c r="H37" s="15" t="str">
        <x:v>Reserva del 4% sobre OPEX operativo no-personal antes de contingencia.</x:v>
      </x:c>
    </x:row>
    <x:row r="38">
      <x:c r="A38" s="130" t="str">
        <x:v>TOTAL OPEX OPERATIVO</x:v>
      </x:c>
      <x:c r="B38" s="29" t="str"/>
      <x:c r="C38" s="29" t="n">
        <x:f>SUM(C6:C37)</x:f>
        <x:v>7.9020475602986675</x:v>
      </x:c>
      <x:c r="D38" s="29" t="n">
        <x:f>SUM(D6:D37)</x:f>
        <x:v>13.472127665065333</x:v>
      </x:c>
      <x:c r="E38" s="29" t="n">
        <x:f>SUM(E6:E37)</x:f>
        <x:v>21.708257252396006</x:v>
      </x:c>
      <x:c r="F38" s="29" t="n">
        <x:f>SUM(F6:F37)</x:f>
        <x:v>0</x:v>
      </x:c>
      <x:c r="G38" s="29"/>
      <x:c r="H38" s="30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3"/>
      <x:c r="B70" s="14"/>
      <x:c r="C70" s="14"/>
      <x:c r="D70" s="14"/>
      <x:c r="E70" s="14"/>
      <x:c r="F70" s="14"/>
      <x:c r="G70" s="14"/>
      <x:c r="H70" s="15"/>
    </x:row>
    <x:row r="71">
      <x:c r="A71" s="13"/>
      <x:c r="B71" s="14"/>
      <x:c r="C71" s="14"/>
      <x:c r="D71" s="14"/>
      <x:c r="E71" s="14"/>
      <x:c r="F71" s="14"/>
      <x:c r="G71" s="14"/>
      <x:c r="H71" s="15"/>
    </x:row>
    <x:row r="72">
      <x:c r="A72" s="13"/>
      <x:c r="B72" s="14"/>
      <x:c r="C72" s="14"/>
      <x:c r="D72" s="14"/>
      <x:c r="E72" s="14"/>
      <x:c r="F72" s="14"/>
      <x:c r="G72" s="14"/>
      <x:c r="H72" s="15"/>
    </x:row>
    <x:row r="73">
      <x:c r="A73" s="13"/>
      <x:c r="B73" s="14"/>
      <x:c r="C73" s="14"/>
      <x:c r="D73" s="14"/>
      <x:c r="E73" s="14"/>
      <x:c r="F73" s="14"/>
      <x:c r="G73" s="14"/>
      <x:c r="H73" s="15"/>
    </x:row>
    <x:row r="74">
      <x:c r="A74" s="13"/>
      <x:c r="B74" s="14"/>
      <x:c r="C74" s="14"/>
      <x:c r="D74" s="14"/>
      <x:c r="E74" s="14"/>
      <x:c r="F74" s="14"/>
      <x:c r="G74" s="14"/>
      <x:c r="H74" s="15"/>
    </x:row>
    <x:row r="75">
      <x:c r="A75" s="13"/>
      <x:c r="B75" s="14"/>
      <x:c r="C75" s="14"/>
      <x:c r="D75" s="14"/>
      <x:c r="E75" s="14"/>
      <x:c r="F75" s="14"/>
      <x:c r="G75" s="14"/>
      <x:c r="H75" s="15"/>
    </x:row>
    <x:row r="76">
      <x:c r="A76" s="13"/>
      <x:c r="B76" s="14"/>
      <x:c r="C76" s="14"/>
      <x:c r="D76" s="14"/>
      <x:c r="E76" s="14"/>
      <x:c r="F76" s="14"/>
      <x:c r="G76" s="14"/>
      <x:c r="H76" s="15"/>
    </x:row>
    <x:row r="77">
      <x:c r="A77" s="13"/>
      <x:c r="B77" s="14"/>
      <x:c r="C77" s="14"/>
      <x:c r="D77" s="14"/>
      <x:c r="E77" s="14"/>
      <x:c r="F77" s="14"/>
      <x:c r="G77" s="14"/>
      <x:c r="H77" s="15"/>
    </x:row>
    <x:row r="78">
      <x:c r="A78" s="13"/>
      <x:c r="B78" s="14"/>
      <x:c r="C78" s="14"/>
      <x:c r="D78" s="14"/>
      <x:c r="E78" s="14"/>
      <x:c r="F78" s="14"/>
      <x:c r="G78" s="14"/>
      <x:c r="H78" s="15"/>
    </x:row>
    <x:row r="79">
      <x:c r="A79" s="13"/>
      <x:c r="B79" s="14"/>
      <x:c r="C79" s="14"/>
      <x:c r="D79" s="14"/>
      <x:c r="E79" s="14"/>
      <x:c r="F79" s="14"/>
      <x:c r="G79" s="14"/>
      <x:c r="H79" s="15"/>
    </x:row>
    <x:row r="80">
      <x:c r="A80" s="13"/>
      <x:c r="B80" s="14"/>
      <x:c r="C80" s="14"/>
      <x:c r="D80" s="14"/>
      <x:c r="E80" s="14"/>
      <x:c r="F80" s="14"/>
      <x:c r="G80" s="14"/>
      <x:c r="H80" s="15"/>
    </x:row>
    <x:row r="81">
      <x:c r="A81" s="13"/>
      <x:c r="B81" s="14"/>
      <x:c r="C81" s="14"/>
      <x:c r="D81" s="14"/>
      <x:c r="E81" s="14"/>
      <x:c r="F81" s="14"/>
      <x:c r="G81" s="14"/>
      <x:c r="H81" s="15"/>
    </x:row>
    <x:row r="82">
      <x:c r="A82" s="13"/>
      <x:c r="B82" s="14"/>
      <x:c r="C82" s="14"/>
      <x:c r="D82" s="14"/>
      <x:c r="E82" s="14"/>
      <x:c r="F82" s="14"/>
      <x:c r="G82" s="14"/>
      <x:c r="H82" s="15"/>
    </x:row>
    <x:row r="83">
      <x:c r="A83" s="13"/>
      <x:c r="B83" s="14"/>
      <x:c r="C83" s="14"/>
      <x:c r="D83" s="14"/>
      <x:c r="E83" s="14"/>
      <x:c r="F83" s="14"/>
      <x:c r="G83" s="14"/>
      <x:c r="H83" s="15"/>
    </x:row>
    <x:row r="84">
      <x:c r="A84" s="13"/>
      <x:c r="B84" s="14"/>
      <x:c r="C84" s="14"/>
      <x:c r="D84" s="14"/>
      <x:c r="E84" s="14"/>
      <x:c r="F84" s="14"/>
      <x:c r="G84" s="14"/>
      <x:c r="H84" s="15"/>
    </x:row>
    <x:row r="85">
      <x:c r="A85" s="13"/>
      <x:c r="B85" s="14"/>
      <x:c r="C85" s="14"/>
      <x:c r="D85" s="14"/>
      <x:c r="E85" s="14"/>
      <x:c r="F85" s="14"/>
      <x:c r="G85" s="14"/>
      <x:c r="H85" s="15"/>
    </x:row>
    <x:row r="86">
      <x:c r="A86" s="13"/>
      <x:c r="B86" s="14"/>
      <x:c r="C86" s="14"/>
      <x:c r="D86" s="14"/>
      <x:c r="E86" s="14"/>
      <x:c r="F86" s="14"/>
      <x:c r="G86" s="14"/>
      <x:c r="H86" s="15"/>
    </x:row>
    <x:row r="87">
      <x:c r="A87" s="13"/>
      <x:c r="B87" s="14"/>
      <x:c r="C87" s="14"/>
      <x:c r="D87" s="14"/>
      <x:c r="E87" s="14"/>
      <x:c r="F87" s="14"/>
      <x:c r="G87" s="14"/>
      <x:c r="H87" s="15"/>
    </x:row>
    <x:row r="88">
      <x:c r="A88" s="13"/>
      <x:c r="B88" s="14"/>
      <x:c r="C88" s="14"/>
      <x:c r="D88" s="14"/>
      <x:c r="E88" s="14"/>
      <x:c r="F88" s="14"/>
      <x:c r="G88" s="14"/>
      <x:c r="H88" s="15"/>
    </x:row>
    <x:row r="89">
      <x:c r="A89" s="13"/>
      <x:c r="B89" s="14"/>
      <x:c r="C89" s="14"/>
      <x:c r="D89" s="14"/>
      <x:c r="E89" s="14"/>
      <x:c r="F89" s="14"/>
      <x:c r="G89" s="14"/>
      <x:c r="H89" s="15"/>
    </x:row>
    <x:row r="90">
      <x:c r="A90" s="13"/>
      <x:c r="B90" s="14"/>
      <x:c r="C90" s="14"/>
      <x:c r="D90" s="14"/>
      <x:c r="E90" s="14"/>
      <x:c r="F90" s="14"/>
      <x:c r="G90" s="14"/>
      <x:c r="H90" s="15"/>
    </x:row>
    <x:row r="91">
      <x:c r="A91" s="13"/>
      <x:c r="B91" s="14"/>
      <x:c r="C91" s="14"/>
      <x:c r="D91" s="14"/>
      <x:c r="E91" s="14"/>
      <x:c r="F91" s="14"/>
      <x:c r="G91" s="14"/>
      <x:c r="H91" s="15"/>
    </x:row>
    <x:row r="92">
      <x:c r="A92" s="13"/>
      <x:c r="B92" s="14"/>
      <x:c r="C92" s="14"/>
      <x:c r="D92" s="14"/>
      <x:c r="E92" s="14"/>
      <x:c r="F92" s="14"/>
      <x:c r="G92" s="14"/>
      <x:c r="H92" s="15"/>
    </x:row>
    <x:row r="93">
      <x:c r="A93" s="13"/>
      <x:c r="B93" s="14"/>
      <x:c r="C93" s="14"/>
      <x:c r="D93" s="14"/>
      <x:c r="E93" s="14"/>
      <x:c r="F93" s="14"/>
      <x:c r="G93" s="14"/>
      <x:c r="H93" s="15"/>
    </x:row>
    <x:row r="94">
      <x:c r="A94" s="13"/>
      <x:c r="B94" s="14"/>
      <x:c r="C94" s="14"/>
      <x:c r="D94" s="14"/>
      <x:c r="E94" s="14"/>
      <x:c r="F94" s="14"/>
      <x:c r="G94" s="14"/>
      <x:c r="H94" s="15"/>
    </x:row>
    <x:row r="95">
      <x:c r="A95" s="16"/>
      <x:c r="B95" s="17"/>
      <x:c r="C95" s="17"/>
      <x:c r="D95" s="17"/>
      <x:c r="E95" s="17"/>
      <x:c r="F95" s="17"/>
      <x:c r="G95" s="17"/>
      <x:c r="H95" s="1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4" hidden="0" customWidth="1"/>
    <x:col min="7" max="7" width="38" hidden="0" customWidth="1"/>
    <x:col min="8" max="8" width="38" hidden="0" customWidth="1"/>
  </x:cols>
  <x:sheetData>
    <x:row r="1">
      <x:c r="A1" s="107" t="str">
        <x:v>05 Detalle de OPEX</x:v>
      </x:c>
      <x:c r="B1" s="108" t="str"/>
      <x:c r="C1" s="108" t="str"/>
      <x:c r="D1" s="108" t="str"/>
      <x:c r="E1" s="108" t="str"/>
      <x:c r="F1" s="109" t="str"/>
      <x:c r="G1" s="109" t="str"/>
      <x:c r="H1" s="110" t="str"/>
    </x:row>
    <x:row r="2">
      <x:c r="A2" s="111" t="str">
        <x:v>Roll-up de OPEX por categoria. EUR M.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Categoria</x:v>
      </x:c>
      <x:c r="B5" s="115" t="str">
        <x:v>2026/27</x:v>
      </x:c>
      <x:c r="C5" s="115" t="str">
        <x:v>2028</x:v>
      </x:c>
      <x:c r="D5" s="115" t="str">
        <x:v>2029</x:v>
      </x:c>
      <x:c r="E5" s="115" t="str">
        <x:v>2030</x:v>
      </x:c>
      <x:c r="F5" s="115" t="str">
        <x:v>Driver / detalle</x:v>
      </x:c>
      <x:c r="G5" s="115" t="str">
        <x:v>Notas</x:v>
      </x:c>
      <x:c r="H5" s="129" t="str">
        <x:v>Fuente</x:v>
      </x:c>
    </x:row>
    <x:row r="6">
      <x:c r="A6" s="13" t="str">
        <x:v>Personal</x:v>
      </x:c>
      <x:c r="B6" s="131" t="n">
        <x:f>'03_Detalle_Personal'!H38</x:f>
        <x:v>2.4195</x:v>
      </x:c>
      <x:c r="C6" s="131" t="n">
        <x:f>'03_Detalle_Personal'!I38</x:f>
        <x:v>5.880999999999999</x:v>
      </x:c>
      <x:c r="D6" s="131" t="n">
        <x:f>'03_Detalle_Personal'!J38</x:f>
        <x:v>10.235999999999999</x:v>
      </x:c>
      <x:c r="E6" s="131" t="n">
        <x:f>'03_Detalle_Personal'!K38</x:f>
        <x:v>16.038000000000004</x:v>
      </x:c>
      <x:c r="F6" s="14" t="str">
        <x:v>Perfiles x FTE x sueldo</x:v>
      </x:c>
      <x:c r="G6" s="14" t="str">
        <x:v>Detalle por perfil</x:v>
      </x:c>
      <x:c r="H6" s="15" t="str">
        <x:v>03_Detalle_Personal</x:v>
      </x:c>
    </x:row>
    <x:row r="7">
      <x:c r="A7" s="13" t="str">
        <x:v>Producto y Tecnologia</x:v>
      </x:c>
      <x:c r="B7" s="131" t="n">
        <x:f>SUMIF('04_OPEX_Operativo'!$A$6:$A$37,"Producto y Tecnologia",'04_OPEX_Operativo'!C$6:C$37)</x:f>
        <x:v>1.8093835050666665</x:v>
      </x:c>
      <x:c r="C7" s="131" t="n">
        <x:f>SUMIF('04_OPEX_Operativo'!$A$6:$A$37,"Producto y Tecnologia",'04_OPEX_Operativo'!D$6:D$37)</x:f>
        <x:v>3.197500100066667</x:v>
      </x:c>
      <x:c r="D7" s="131" t="n">
        <x:f>SUMIF('04_OPEX_Operativo'!$A$6:$A$37,"Producto y Tecnologia",'04_OPEX_Operativo'!E$6:E$37)</x:f>
        <x:v>5.260716106866666</x:v>
      </x:c>
      <x:c r="E7" s="131" t="n">
        <x:f>SUMIF('04_OPEX_Operativo'!$A$6:$A$37,"Producto y Tecnologia",'04_OPEX_Operativo'!F$6:F$37)</x:f>
        <x:v>0</x:v>
      </x:c>
      <x:c r="F7" s="14" t="str">
        <x:v>Cloud + seguridad + IA/API + QA</x:v>
      </x:c>
      <x:c r="G7" s="14" t="str">
        <x:v>Detalle no-personal</x:v>
      </x:c>
      <x:c r="H7" s="15" t="str">
        <x:v>04_OPEX_Operativo</x:v>
      </x:c>
    </x:row>
    <x:row r="8">
      <x:c r="A8" s="13" t="str">
        <x:v>Operaciones / Delivery</x:v>
      </x:c>
      <x:c r="B8" s="131" t="n">
        <x:f>SUMIF('04_OPEX_Operativo'!$A$6:$A$37,"Operaciones / Delivery",'04_OPEX_Operativo'!C$6:C$37)</x:f>
        <x:v>1.6605545589333333</x:v>
      </x:c>
      <x:c r="C8" s="131" t="n">
        <x:f>SUMIF('04_OPEX_Operativo'!$A$6:$A$37,"Operaciones / Delivery",'04_OPEX_Operativo'!D$6:D$37)</x:f>
        <x:v>2.6065089556000003</x:v>
      </x:c>
      <x:c r="D8" s="131" t="n">
        <x:f>SUMIF('04_OPEX_Operativo'!$A$6:$A$37,"Operaciones / Delivery",'04_OPEX_Operativo'!E$6:E$37)</x:f>
        <x:v>3.8019462934666666</x:v>
      </x:c>
      <x:c r="E8" s="131" t="n">
        <x:f>SUMIF('04_OPEX_Operativo'!$A$6:$A$37,"Operaciones / Delivery",'04_OPEX_Operativo'!F$6:F$37)</x:f>
        <x:v>0</x:v>
      </x:c>
      <x:c r="F8" s="14" t="str">
        <x:v>IoT + QA + training + field</x:v>
      </x:c>
      <x:c r="G8" s="14" t="str">
        <x:v>Detalle no-personal</x:v>
      </x:c>
      <x:c r="H8" s="15" t="str">
        <x:v>04_OPEX_Operativo</x:v>
      </x:c>
    </x:row>
    <x:row r="9">
      <x:c r="A9" s="13" t="str">
        <x:v>Customer Success / Data</x:v>
      </x:c>
      <x:c r="B9" s="131" t="n">
        <x:f>SUMIF('04_OPEX_Operativo'!$A$6:$A$37,"Customer Success / Data",'04_OPEX_Operativo'!C$6:C$37)</x:f>
        <x:v>0.49522504293333336</x:v>
      </x:c>
      <x:c r="C9" s="131" t="n">
        <x:f>SUMIF('04_OPEX_Operativo'!$A$6:$A$37,"Customer Success / Data",'04_OPEX_Operativo'!D$6:D$37)</x:f>
        <x:v>0.8453250250166667</x:v>
      </x:c>
      <x:c r="D9" s="131" t="n">
        <x:f>SUMIF('04_OPEX_Operativo'!$A$6:$A$37,"Customer Success / Data",'04_OPEX_Operativo'!E$6:E$37)</x:f>
        <x:v>1.36501236005</x:v>
      </x:c>
      <x:c r="E9" s="131" t="n">
        <x:f>SUMIF('04_OPEX_Operativo'!$A$6:$A$37,"Customer Success / Data",'04_OPEX_Operativo'!F$6:F$37)</x:f>
        <x:v>0</x:v>
      </x:c>
      <x:c r="F9" s="14" t="str">
        <x:v>Soporte + datos + SLA</x:v>
      </x:c>
      <x:c r="G9" s="14" t="str">
        <x:v>Detalle no-personal</x:v>
      </x:c>
      <x:c r="H9" s="15" t="str">
        <x:v>04_OPEX_Operativo</x:v>
      </x:c>
    </x:row>
    <x:row r="10">
      <x:c r="A10" s="13" t="str">
        <x:v>GTM / Marketing</x:v>
      </x:c>
      <x:c r="B10" s="131" t="n">
        <x:f>SUMIF('04_OPEX_Operativo'!$A$6:$A$37,"GTM / Marketing",'04_OPEX_Operativo'!C$6:C$37)</x:f>
        <x:v>2.003356128</x:v>
      </x:c>
      <x:c r="C10" s="131" t="n">
        <x:f>SUMIF('04_OPEX_Operativo'!$A$6:$A$37,"GTM / Marketing",'04_OPEX_Operativo'!D$6:D$37)</x:f>
        <x:v>3.6653781113333337</x:v>
      </x:c>
      <x:c r="D10" s="131" t="n">
        <x:f>SUMIF('04_OPEX_Operativo'!$A$6:$A$37,"GTM / Marketing",'04_OPEX_Operativo'!E$6:E$37)</x:f>
        <x:v>6.391564800666666</x:v>
      </x:c>
      <x:c r="E10" s="131" t="n">
        <x:f>SUMIF('04_OPEX_Operativo'!$A$6:$A$37,"GTM / Marketing",'04_OPEX_Operativo'!F$6:F$37)</x:f>
        <x:v>0</x:v>
      </x:c>
      <x:c r="F10" s="14" t="str">
        <x:v>Marca + canal + eventos + CRM</x:v>
      </x:c>
      <x:c r="G10" s="14" t="str">
        <x:v>Detalle no-personal</x:v>
      </x:c>
      <x:c r="H10" s="15" t="str">
        <x:v>04_OPEX_Operativo</x:v>
      </x:c>
    </x:row>
    <x:row r="11">
      <x:c r="A11" s="13" t="str">
        <x:v>G&amp;A</x:v>
      </x:c>
      <x:c r="B11" s="131" t="n">
        <x:f>SUMIF('04_OPEX_Operativo'!$A$6:$A$37,"G&amp;A",'04_OPEX_Operativo'!C$6:C$37)</x:f>
        <x:v>1.6296034192</x:v>
      </x:c>
      <x:c r="C11" s="131" t="n">
        <x:f>SUMIF('04_OPEX_Operativo'!$A$6:$A$37,"G&amp;A",'04_OPEX_Operativo'!D$6:D$37)</x:f>
        <x:v>2.6392567167000003</x:v>
      </x:c>
      <x:c r="D11" s="131" t="n">
        <x:f>SUMIF('04_OPEX_Operativo'!$A$6:$A$37,"G&amp;A",'04_OPEX_Operativo'!E$6:E$37)</x:f>
        <x:v>4.0540847201</x:v>
      </x:c>
      <x:c r="E11" s="131" t="n">
        <x:f>SUMIF('04_OPEX_Operativo'!$A$6:$A$37,"G&amp;A",'04_OPEX_Operativo'!F$6:F$37)</x:f>
        <x:v>0</x:v>
      </x:c>
      <x:c r="F11" s="14" t="str">
        <x:v>Legal + finanzas + oficina + governance</x:v>
      </x:c>
      <x:c r="G11" s="14" t="str">
        <x:v>Detalle no-personal</x:v>
      </x:c>
      <x:c r="H11" s="15" t="str">
        <x:v>04_OPEX_Operativo</x:v>
      </x:c>
    </x:row>
    <x:row r="12">
      <x:c r="A12" s="13" t="str">
        <x:v>Reserva / contingencia</x:v>
      </x:c>
      <x:c r="B12" s="131" t="n">
        <x:f>SUMIF('04_OPEX_Operativo'!$A$6:$A$37,"Reserva / contingencia",'04_OPEX_Operativo'!C$6:C$37)</x:f>
        <x:v>0.30392490616533335</x:v>
      </x:c>
      <x:c r="C12" s="131" t="n">
        <x:f>SUMIF('04_OPEX_Operativo'!$A$6:$A$37,"Reserva / contingencia",'04_OPEX_Operativo'!D$6:D$37)</x:f>
        <x:v>0.5181587563486667</x:v>
      </x:c>
      <x:c r="D12" s="131" t="n">
        <x:f>SUMIF('04_OPEX_Operativo'!$A$6:$A$37,"Reserva / contingencia",'04_OPEX_Operativo'!E$6:E$37)</x:f>
        <x:v>0.8349329712460002</x:v>
      </x:c>
      <x:c r="E12" s="131" t="n">
        <x:f>SUMIF('04_OPEX_Operativo'!$A$6:$A$37,"Reserva / contingencia",'04_OPEX_Operativo'!F$6:F$37)</x:f>
        <x:v>0</x:v>
      </x:c>
      <x:c r="F12" s="14" t="str">
        <x:v>4% subtotal OPEX operativo</x:v>
      </x:c>
      <x:c r="G12" s="14" t="str">
        <x:v>Contingencia</x:v>
      </x:c>
      <x:c r="H12" s="15" t="str">
        <x:v>04_OPEX_Operativo</x:v>
      </x:c>
    </x:row>
    <x:row r="13">
      <x:c r="A13" s="130" t="str">
        <x:v>OPEX no-personal</x:v>
      </x:c>
      <x:c r="B13" s="29" t="n">
        <x:f>SUM(B7:B12)</x:f>
        <x:v>7.9020475602986675</x:v>
      </x:c>
      <x:c r="C13" s="29" t="n">
        <x:f>SUM(C7:C12)</x:f>
        <x:v>13.472127665065335</x:v>
      </x:c>
      <x:c r="D13" s="29" t="n">
        <x:f>SUM(D7:D12)</x:f>
        <x:v>21.708257252396</x:v>
      </x:c>
      <x:c r="E13" s="29" t="n">
        <x:f>SUM(E7:E12)</x:f>
        <x:v>0</x:v>
      </x:c>
      <x:c r="F13" s="29" t="str">
        <x:v>SUM categorias no-personal</x:v>
      </x:c>
      <x:c r="G13" s="29" t="str">
        <x:v>Subtotal</x:v>
      </x:c>
      <x:c r="H13" s="30" t="str"/>
    </x:row>
    <x:row r="14">
      <x:c r="A14" s="130" t="str">
        <x:v>TOTAL OPEX</x:v>
      </x:c>
      <x:c r="B14" s="29" t="n">
        <x:f>B6+B13</x:f>
        <x:v>10.321547560298669</x:v>
      </x:c>
      <x:c r="C14" s="29" t="n">
        <x:f>C6+C13</x:f>
        <x:v>19.353127665065333</x:v>
      </x:c>
      <x:c r="D14" s="29" t="n">
        <x:f>D6+D13</x:f>
        <x:v>31.944257252396</x:v>
      </x:c>
      <x:c r="E14" s="29" t="n">
        <x:f>E6+E13</x:f>
        <x:v>16.038000000000004</x:v>
      </x:c>
      <x:c r="F14" s="29" t="str">
        <x:v>Personal + no-personal</x:v>
      </x:c>
      <x:c r="G14" s="29" t="str">
        <x:v>Alimenta cuenta de resultados</x:v>
      </x:c>
      <x:c r="H14" s="30" t="str"/>
    </x:row>
    <x:row r="15">
      <x:c r="A15" s="13" t="str">
        <x:v>OPEX / ingresos</x:v>
      </x:c>
      <x:c r="B15" s="135" t="n">
        <x:f>IF('02_Detalle_Ingresos'!B42=0,0,B14/'02_Detalle_Ingresos'!B42)</x:f>
        <x:v>1.0788666616527796</x:v>
      </x:c>
      <x:c r="C15" s="135" t="n">
        <x:f>IF('02_Detalle_Ingresos'!C42=0,0,C14/'02_Detalle_Ingresos'!C42)</x:f>
        <x:v>0.44116925949288716</x:v>
      </x:c>
      <x:c r="D15" s="135" t="n">
        <x:f>IF('02_Detalle_Ingresos'!D42=0,0,D14/'02_Detalle_Ingresos'!D42)</x:f>
        <x:v>0.338324799050345</x:v>
      </x:c>
      <x:c r="E15" s="135" t="n">
        <x:f>IF('02_Detalle_Ingresos'!E42=0,0,E14/'02_Detalle_Ingresos'!E42)</x:f>
        <x:v>0.08351896573762296</x:v>
      </x:c>
      <x:c r="F15" s="14" t="str">
        <x:v>Total OPEX / ingresos</x:v>
      </x:c>
      <x:c r="G15" s="14" t="str">
        <x:v>Ratio operativo</x:v>
      </x:c>
      <x:c r="H15" s="15" t="str"/>
    </x:row>
    <x:row r="16">
      <x:c r="A16" s="13"/>
      <x:c r="B16" s="14"/>
      <x:c r="C16" s="14"/>
      <x:c r="D16" s="14"/>
      <x:c r="E16" s="14"/>
      <x:c r="F16" s="14"/>
      <x:c r="G16" s="14"/>
      <x:c r="H16" s="15"/>
    </x:row>
    <x:row r="17">
      <x:c r="A17" s="13"/>
      <x:c r="B17" s="14"/>
      <x:c r="C17" s="14"/>
      <x:c r="D17" s="14"/>
      <x:c r="E17" s="14"/>
      <x:c r="F17" s="14"/>
      <x:c r="G17" s="14"/>
      <x:c r="H17" s="15"/>
    </x:row>
    <x:row r="18">
      <x:c r="A18" s="13"/>
      <x:c r="B18" s="14"/>
      <x:c r="C18" s="14"/>
      <x:c r="D18" s="14"/>
      <x:c r="E18" s="14"/>
      <x:c r="F18" s="14"/>
      <x:c r="G18" s="14"/>
      <x:c r="H18" s="15"/>
    </x:row>
    <x:row r="19">
      <x:c r="A19" s="13"/>
      <x:c r="B19" s="14"/>
      <x:c r="C19" s="14"/>
      <x:c r="D19" s="14"/>
      <x:c r="E19" s="14"/>
      <x:c r="F19" s="14"/>
      <x:c r="G19" s="14"/>
      <x:c r="H19" s="15"/>
    </x:row>
    <x:row r="20">
      <x:c r="A20" s="13"/>
      <x:c r="B20" s="14"/>
      <x:c r="C20" s="14"/>
      <x:c r="D20" s="14"/>
      <x:c r="E20" s="14"/>
      <x:c r="F20" s="14"/>
      <x:c r="G20" s="14"/>
      <x:c r="H20" s="15"/>
    </x:row>
    <x:row r="21">
      <x:c r="A21" s="13"/>
      <x:c r="B21" s="14"/>
      <x:c r="C21" s="14"/>
      <x:c r="D21" s="14"/>
      <x:c r="E21" s="14"/>
      <x:c r="F21" s="14"/>
      <x:c r="G21" s="14"/>
      <x:c r="H21" s="15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3"/>
      <x:c r="B70" s="14"/>
      <x:c r="C70" s="14"/>
      <x:c r="D70" s="14"/>
      <x:c r="E70" s="14"/>
      <x:c r="F70" s="14"/>
      <x:c r="G70" s="14"/>
      <x:c r="H70" s="15"/>
    </x:row>
    <x:row r="71">
      <x:c r="A71" s="13"/>
      <x:c r="B71" s="14"/>
      <x:c r="C71" s="14"/>
      <x:c r="D71" s="14"/>
      <x:c r="E71" s="14"/>
      <x:c r="F71" s="14"/>
      <x:c r="G71" s="14"/>
      <x:c r="H71" s="15"/>
    </x:row>
    <x:row r="72">
      <x:c r="A72" s="13"/>
      <x:c r="B72" s="14"/>
      <x:c r="C72" s="14"/>
      <x:c r="D72" s="14"/>
      <x:c r="E72" s="14"/>
      <x:c r="F72" s="14"/>
      <x:c r="G72" s="14"/>
      <x:c r="H72" s="15"/>
    </x:row>
    <x:row r="73">
      <x:c r="A73" s="13"/>
      <x:c r="B73" s="14"/>
      <x:c r="C73" s="14"/>
      <x:c r="D73" s="14"/>
      <x:c r="E73" s="14"/>
      <x:c r="F73" s="14"/>
      <x:c r="G73" s="14"/>
      <x:c r="H73" s="15"/>
    </x:row>
    <x:row r="74">
      <x:c r="A74" s="13"/>
      <x:c r="B74" s="14"/>
      <x:c r="C74" s="14"/>
      <x:c r="D74" s="14"/>
      <x:c r="E74" s="14"/>
      <x:c r="F74" s="14"/>
      <x:c r="G74" s="14"/>
      <x:c r="H74" s="15"/>
    </x:row>
    <x:row r="75">
      <x:c r="A75" s="16"/>
      <x:c r="B75" s="17"/>
      <x:c r="C75" s="17"/>
      <x:c r="D75" s="17"/>
      <x:c r="E75" s="17"/>
      <x:c r="F75" s="17"/>
      <x:c r="G75" s="17"/>
      <x:c r="H75" s="1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4" hidden="0" customWidth="1"/>
    <x:col min="7" max="7" width="38" hidden="0" customWidth="1"/>
    <x:col min="8" max="8" width="38" hidden="0" customWidth="1"/>
  </x:cols>
  <x:sheetData>
    <x:row r="1">
      <x:c r="A1" s="107" t="str">
        <x:v>06 Cuenta de resultados</x:v>
      </x:c>
      <x:c r="B1" s="108" t="str"/>
      <x:c r="C1" s="108" t="str"/>
      <x:c r="D1" s="108" t="str"/>
      <x:c r="E1" s="108" t="str"/>
      <x:c r="F1" s="109" t="str"/>
      <x:c r="G1" s="119"/>
      <x:c r="H1" s="120"/>
    </x:row>
    <x:row r="2">
      <x:c r="A2" s="111" t="str">
        <x:v>Ingresos, margen bruto, OPEX, EBITDA, EBIT, resultado antes de impuestos y resultado neto. EUR M.</x:v>
      </x:c>
      <x:c r="B2" s="112" t="str"/>
      <x:c r="C2" s="112" t="str"/>
      <x:c r="D2" s="112" t="str"/>
      <x:c r="E2" s="112" t="str"/>
      <x:c r="F2" s="112" t="str"/>
      <x:c r="G2" s="121"/>
      <x:c r="H2" s="122"/>
    </x:row>
    <x:row r="3">
      <x:c r="A3" s="13" t="str"/>
      <x:c r="B3" s="14" t="str"/>
      <x:c r="C3" s="14" t="str"/>
      <x:c r="D3" s="14" t="str"/>
      <x:c r="E3" s="14" t="str"/>
      <x:c r="F3" s="14" t="str"/>
      <x:c r="G3" s="121"/>
      <x:c r="H3" s="122"/>
    </x:row>
    <x:row r="4">
      <x:c r="A4" s="13"/>
      <x:c r="B4" s="14"/>
      <x:c r="C4" s="14"/>
      <x:c r="D4" s="14"/>
      <x:c r="E4" s="14"/>
      <x:c r="F4" s="14"/>
      <x:c r="G4" s="121"/>
      <x:c r="H4" s="122"/>
    </x:row>
    <x:row r="5">
      <x:c r="A5" s="114" t="str">
        <x:v>Concepto</x:v>
      </x:c>
      <x:c r="B5" s="125" t="str">
        <x:v>2026/27</x:v>
      </x:c>
      <x:c r="C5" s="125" t="str">
        <x:v>2028</x:v>
      </x:c>
      <x:c r="D5" s="125" t="str">
        <x:v>2029</x:v>
      </x:c>
      <x:c r="E5" s="125" t="str">
        <x:v>2030</x:v>
      </x:c>
      <x:c r="F5" s="115" t="str">
        <x:v>Notas / driver</x:v>
      </x:c>
      <x:c r="G5" s="121"/>
      <x:c r="H5" s="122"/>
    </x:row>
    <x:row r="6">
      <x:c r="A6" s="13" t="str">
        <x:v>Ingresos totales</x:v>
      </x:c>
      <x:c r="B6" s="131" t="n">
        <x:f>'02_Detalle_Ingresos'!B42</x:f>
        <x:v>9.567028</x:v>
      </x:c>
      <x:c r="C6" s="131" t="n">
        <x:f>'02_Detalle_Ingresos'!C42</x:f>
        <x:v>43.86780639999999</x:v>
      </x:c>
      <x:c r="D6" s="131" t="n">
        <x:f>'02_Detalle_Ingresos'!D42</x:f>
        <x:v>94.41890556666667</x:v>
      </x:c>
      <x:c r="E6" s="131" t="n">
        <x:f>'02_Detalle_Ingresos'!E42</x:f>
        <x:v>192.02824003333333</x:v>
      </x:c>
      <x:c r="F6" s="14" t="str">
        <x:v>Desde Detalle de ingresos</x:v>
      </x:c>
      <x:c r="G6" s="121"/>
      <x:c r="H6" s="122"/>
    </x:row>
    <x:row r="7">
      <x:c r="A7" s="13" t="str">
        <x:v>Contribucion digitalizacion fabricante</x:v>
      </x:c>
      <x:c r="B7" s="131" t="n">
        <x:f>'02_Detalle_Ingresos'!B20*'01_Supuestos'!B51</x:f>
        <x:v>0.09859999999999998</x:v>
      </x:c>
      <x:c r="C7" s="131" t="n">
        <x:f>'02_Detalle_Ingresos'!C20*'01_Supuestos'!C51</x:f>
        <x:v>0.222</x:v>
      </x:c>
      <x:c r="D7" s="131" t="n">
        <x:f>'02_Detalle_Ingresos'!D20*'01_Supuestos'!D51</x:f>
        <x:v>0.434</x:v>
      </x:c>
      <x:c r="E7" s="131" t="n">
        <x:f>'02_Detalle_Ingresos'!E20*'01_Supuestos'!E51</x:f>
        <x:v>0.5850000000000001</x:v>
      </x:c>
      <x:c r="F7" s="14" t="str">
        <x:v>Revenue x GM especifico</x:v>
      </x:c>
      <x:c r="G7" s="121"/>
      <x:c r="H7" s="122"/>
    </x:row>
    <x:row r="8">
      <x:c r="A8" s="13" t="str">
        <x:v>Contribucion digitalizacion montaje</x:v>
      </x:c>
      <x:c r="B8" s="131" t="n">
        <x:f>'02_Detalle_Ingresos'!B21*'01_Supuestos'!B52</x:f>
        <x:v>0.0465</x:v>
      </x:c>
      <x:c r="C8" s="131" t="n">
        <x:f>'02_Detalle_Ingresos'!C21*'01_Supuestos'!C52</x:f>
        <x:v>0.15665</x:v>
      </x:c>
      <x:c r="D8" s="131" t="n">
        <x:f>'02_Detalle_Ingresos'!D21*'01_Supuestos'!D52</x:f>
        <x:v>0.1541</x:v>
      </x:c>
      <x:c r="E8" s="131" t="n">
        <x:f>'02_Detalle_Ingresos'!E21*'01_Supuestos'!E52</x:f>
        <x:v>0.17779999999999999</x:v>
      </x:c>
      <x:c r="F8" s="14" t="str">
        <x:v>Revenue x GM especifico</x:v>
      </x:c>
      <x:c r="G8" s="121"/>
      <x:c r="H8" s="122"/>
    </x:row>
    <x:row r="9">
      <x:c r="A9" s="13" t="str">
        <x:v>Contribucion fee fabricante</x:v>
      </x:c>
      <x:c r="B9" s="131" t="n">
        <x:f>'02_Detalle_Ingresos'!B22*'01_Supuestos'!B53</x:f>
        <x:v>0.645</x:v>
      </x:c>
      <x:c r="C9" s="131" t="n">
        <x:f>'02_Detalle_Ingresos'!C22*'01_Supuestos'!C53</x:f>
        <x:v>2.5237249999999998</x:v>
      </x:c>
      <x:c r="D9" s="131" t="n">
        <x:f>'02_Detalle_Ingresos'!D22*'01_Supuestos'!D53</x:f>
        <x:v>4.4337333333333335</x:v>
      </x:c>
      <x:c r="E9" s="131" t="n">
        <x:f>'02_Detalle_Ingresos'!E22*'01_Supuestos'!E53</x:f>
        <x:v>6.8295</x:v>
      </x:c>
      <x:c r="F9" s="14" t="str">
        <x:v>Revenue x GM especifico</x:v>
      </x:c>
      <x:c r="G9" s="121"/>
      <x:c r="H9" s="122"/>
    </x:row>
    <x:row r="10">
      <x:c r="A10" s="13" t="str">
        <x:v>Contribucion fee montaje</x:v>
      </x:c>
      <x:c r="B10" s="131" t="n">
        <x:f>'02_Detalle_Ingresos'!B23*'01_Supuestos'!B54</x:f>
        <x:v>0.5355</x:v>
      </x:c>
      <x:c r="C10" s="131" t="n">
        <x:f>'02_Detalle_Ingresos'!C23*'01_Supuestos'!C54</x:f>
        <x:v>2.2452449999999997</x:v>
      </x:c>
      <x:c r="D10" s="131" t="n">
        <x:f>'02_Detalle_Ingresos'!D23*'01_Supuestos'!D54</x:f>
        <x:v>4.0765155</x:v>
      </x:c>
      <x:c r="E10" s="131" t="n">
        <x:f>'02_Detalle_Ingresos'!E23*'01_Supuestos'!E54</x:f>
        <x:v>6.343846666666667</x:v>
      </x:c>
      <x:c r="F10" s="14" t="str">
        <x:v>Revenue x GM especifico</x:v>
      </x:c>
      <x:c r="G10" s="121"/>
      <x:c r="H10" s="122"/>
    </x:row>
    <x:row r="11">
      <x:c r="A11" s="13" t="str">
        <x:v>Contribucion resto Asset OS</x:v>
      </x:c>
      <x:c r="B11" s="131" t="n">
        <x:f>('02_Detalle_Ingresos'!B31-SUM('02_Detalle_Ingresos'!B20:B23))*'01_Supuestos'!B46</x:f>
        <x:v>3.535146</x:v>
      </x:c>
      <x:c r="C11" s="131" t="n">
        <x:f>('02_Detalle_Ingresos'!C31-SUM('02_Detalle_Ingresos'!C20:C23))*'01_Supuestos'!C46</x:f>
        <x:v>19.851365174666665</x:v>
      </x:c>
      <x:c r="D11" s="131" t="n">
        <x:f>('02_Detalle_Ingresos'!D31-SUM('02_Detalle_Ingresos'!D20:D23))*'01_Supuestos'!D46</x:f>
        <x:v>43.64942936433334</x:v>
      </x:c>
      <x:c r="E11" s="131" t="n">
        <x:f>('02_Detalle_Ingresos'!E31-SUM('02_Detalle_Ingresos'!E20:E23))*'01_Supuestos'!E46</x:f>
        <x:v>89.70435102733333</x:v>
      </x:c>
      <x:c r="F11" s="14" t="str">
        <x:v>Subtotal Asset OS excl. lineas anteriores x margen Asset OS</x:v>
      </x:c>
      <x:c r="G11" s="121"/>
      <x:c r="H11" s="122"/>
    </x:row>
    <x:row r="12">
      <x:c r="A12" s="13" t="str">
        <x:v>Contribucion iPath</x:v>
      </x:c>
      <x:c r="B12" s="131" t="n">
        <x:f>'02_Detalle_Ingresos'!B36*'01_Supuestos'!B47</x:f>
        <x:v>0.9560000000000001</x:v>
      </x:c>
      <x:c r="C12" s="131" t="n">
        <x:f>'02_Detalle_Ingresos'!C36*'01_Supuestos'!C47</x:f>
        <x:v>3.0282</x:v>
      </x:c>
      <x:c r="D12" s="131" t="n">
        <x:f>'02_Detalle_Ingresos'!D36*'01_Supuestos'!D47</x:f>
        <x:v>7.0444</x:v>
      </x:c>
      <x:c r="E12" s="131" t="n">
        <x:f>'02_Detalle_Ingresos'!E36*'01_Supuestos'!E47</x:f>
        <x:v>16.276799999999998</x:v>
      </x:c>
      <x:c r="F12" s="14" t="str">
        <x:v>Revenue x margen iPath</x:v>
      </x:c>
      <x:c r="G12" s="121"/>
      <x:c r="H12" s="122"/>
    </x:row>
    <x:row r="13">
      <x:c r="A13" s="13" t="str">
        <x:v>Contribucion Marketplace</x:v>
      </x:c>
      <x:c r="B13" s="131" t="n">
        <x:f>'02_Detalle_Ingresos'!B40*'01_Supuestos'!B48</x:f>
        <x:v>0.26480000000000004</x:v>
      </x:c>
      <x:c r="C13" s="131" t="n">
        <x:f>'02_Detalle_Ingresos'!C40*'01_Supuestos'!C48</x:f>
        <x:v>1.0284680533333332</x:v>
      </x:c>
      <x:c r="D13" s="131" t="n">
        <x:f>'02_Detalle_Ingresos'!D40*'01_Supuestos'!D48</x:f>
        <x:v>3.1100831999999996</x:v>
      </x:c>
      <x:c r="E13" s="131" t="n">
        <x:f>'02_Detalle_Ingresos'!E40*'01_Supuestos'!E48</x:f>
        <x:v>7.5434384</x:v>
      </x:c>
      <x:c r="F13" s="14" t="str">
        <x:v>Revenue x margen Marketplace</x:v>
      </x:c>
      <x:c r="G13" s="121"/>
      <x:c r="H13" s="122"/>
    </x:row>
    <x:row r="14">
      <x:c r="A14" s="13" t="str">
        <x:v>Contribucion Moolde</x:v>
      </x:c>
      <x:c r="B14" s="131" t="n">
        <x:f>'02_Detalle_Ingresos'!B37*'01_Supuestos'!B55</x:f>
        <x:v>0.2</x:v>
      </x:c>
      <x:c r="C14" s="131" t="n">
        <x:f>'02_Detalle_Ingresos'!C37*'01_Supuestos'!C55</x:f>
        <x:v>0.8</x:v>
      </x:c>
      <x:c r="D14" s="131" t="n">
        <x:f>'02_Detalle_Ingresos'!D37*'01_Supuestos'!D55</x:f>
        <x:v>1.8</x:v>
      </x:c>
      <x:c r="E14" s="131" t="n">
        <x:f>'02_Detalle_Ingresos'!E37*'01_Supuestos'!E55</x:f>
        <x:v>3</x:v>
      </x:c>
      <x:c r="F14" s="14" t="str">
        <x:v>Revenue x margen Moolde</x:v>
      </x:c>
      <x:c r="G14" s="121"/>
      <x:c r="H14" s="122"/>
    </x:row>
    <x:row r="15">
      <x:c r="A15" s="13" t="str">
        <x:v>Contribucion Internacional</x:v>
      </x:c>
      <x:c r="B15" s="131" t="n">
        <x:f>'02_Detalle_Ingresos'!B38*'01_Supuestos'!B49</x:f>
        <x:v>0</x:v>
      </x:c>
      <x:c r="C15" s="131" t="n">
        <x:f>'02_Detalle_Ingresos'!C38*'01_Supuestos'!C49</x:f>
        <x:v>1.02</x:v>
      </x:c>
      <x:c r="D15" s="131" t="n">
        <x:f>'02_Detalle_Ingresos'!D38*'01_Supuestos'!D49</x:f>
        <x:v>2.8</x:v>
      </x:c>
      <x:c r="E15" s="131" t="n">
        <x:f>'02_Detalle_Ingresos'!E38*'01_Supuestos'!E49</x:f>
        <x:v>9</x:v>
      </x:c>
      <x:c r="F15" s="14" t="str">
        <x:v>Revenue x margen internacional</x:v>
      </x:c>
      <x:c r="G15" s="121"/>
      <x:c r="H15" s="122"/>
    </x:row>
    <x:row r="16">
      <x:c r="A16" s="13" t="str">
        <x:v>Contribucion Financial Layer</x:v>
      </x:c>
      <x:c r="B16" s="131" t="n">
        <x:f>'02_Detalle_Ingresos'!B39*'01_Supuestos'!B50</x:f>
        <x:v>0.20400000000000001</x:v>
      </x:c>
      <x:c r="C16" s="131" t="n">
        <x:f>'02_Detalle_Ingresos'!C39*'01_Supuestos'!C50</x:f>
        <x:v>0.864</x:v>
      </x:c>
      <x:c r="D16" s="131" t="n">
        <x:f>'02_Detalle_Ingresos'!D39*'01_Supuestos'!D50</x:f>
        <x:v>2.25</x:v>
      </x:c>
      <x:c r="E16" s="131" t="n">
        <x:f>'02_Detalle_Ingresos'!E39*'01_Supuestos'!E50</x:f>
        <x:v>7.6499999999999995</x:v>
      </x:c>
      <x:c r="F16" s="14" t="str">
        <x:v>Revenue x margen Financial Layer</x:v>
      </x:c>
      <x:c r="G16" s="121"/>
      <x:c r="H16" s="122"/>
    </x:row>
    <x:row r="17">
      <x:c r="A17" s="130" t="str">
        <x:v>Margen bruto / contribucion total</x:v>
      </x:c>
      <x:c r="B17" s="29" t="n">
        <x:f>SUM(B7:B16)</x:f>
        <x:v>6.485546000000001</x:v>
      </x:c>
      <x:c r="C17" s="29" t="n">
        <x:f>SUM(C7:C16)</x:f>
        <x:v>31.739653227999998</x:v>
      </x:c>
      <x:c r="D17" s="29" t="n">
        <x:f>SUM(D7:D16)</x:f>
        <x:v>69.75226139766667</x:v>
      </x:c>
      <x:c r="E17" s="29" t="n">
        <x:f>SUM(E7:E16)</x:f>
        <x:v>147.110736094</x:v>
      </x:c>
      <x:c r="F17" s="29" t="str">
        <x:v>SUM contribuciones</x:v>
      </x:c>
      <x:c r="G17" s="121"/>
      <x:c r="H17" s="122"/>
    </x:row>
    <x:row r="18">
      <x:c r="A18" s="13" t="str">
        <x:v>% margen bruto</x:v>
      </x:c>
      <x:c r="B18" s="136" t="n">
        <x:f>IF(B6=0,0,B17/B6)</x:f>
        <x:v>0.6779060330961716</x:v>
      </x:c>
      <x:c r="C18" s="136" t="n">
        <x:f>IF(C6=0,0,C17/C6)</x:f>
        <x:v>0.7235295272936192</x:v>
      </x:c>
      <x:c r="D18" s="136" t="n">
        <x:f>IF(D6=0,0,D17/D6)</x:f>
        <x:v>0.7387531234241692</x:v>
      </x:c>
      <x:c r="E18" s="136" t="n">
        <x:f>IF(E6=0,0,E17/E6)</x:f>
        <x:v>0.7660890714223267</x:v>
      </x:c>
      <x:c r="F18" s="14" t="str">
        <x:v>Contribucion / ingresos</x:v>
      </x:c>
      <x:c r="G18" s="121"/>
      <x:c r="H18" s="122"/>
    </x:row>
    <x:row r="19">
      <x:c r="A19" s="13" t="str">
        <x:v>OPEX personal</x:v>
      </x:c>
      <x:c r="B19" s="131" t="n">
        <x:f>-'05_Detalle_OPEX'!B6</x:f>
        <x:v>-2.4195</x:v>
      </x:c>
      <x:c r="C19" s="131" t="n">
        <x:f>-'05_Detalle_OPEX'!C6</x:f>
        <x:v>-5.880999999999999</x:v>
      </x:c>
      <x:c r="D19" s="131" t="n">
        <x:f>-'05_Detalle_OPEX'!D6</x:f>
        <x:v>-10.235999999999999</x:v>
      </x:c>
      <x:c r="E19" s="131" t="n">
        <x:f>-'05_Detalle_OPEX'!E6</x:f>
        <x:v>-16.038000000000004</x:v>
      </x:c>
      <x:c r="F19" s="14" t="str">
        <x:v>Gasto operativo de plantilla</x:v>
      </x:c>
      <x:c r="G19" s="121"/>
      <x:c r="H19" s="122"/>
    </x:row>
    <x:row r="20">
      <x:c r="A20" s="13" t="str">
        <x:v>OPEX no-personal</x:v>
      </x:c>
      <x:c r="B20" s="131" t="n">
        <x:f>-'05_Detalle_OPEX'!B13</x:f>
        <x:v>-7.9020475602986675</x:v>
      </x:c>
      <x:c r="C20" s="131" t="n">
        <x:f>-'05_Detalle_OPEX'!C13</x:f>
        <x:v>-13.472127665065335</x:v>
      </x:c>
      <x:c r="D20" s="131" t="n">
        <x:f>-'05_Detalle_OPEX'!D13</x:f>
        <x:v>-21.708257252396</x:v>
      </x:c>
      <x:c r="E20" s="131" t="n">
        <x:f>-'05_Detalle_OPEX'!E13</x:f>
        <x:v>0</x:v>
      </x:c>
      <x:c r="F20" s="14" t="str">
        <x:v>Gasto operativo no-personal</x:v>
      </x:c>
      <x:c r="G20" s="121"/>
      <x:c r="H20" s="122"/>
    </x:row>
    <x:row r="21">
      <x:c r="A21" s="13" t="str">
        <x:v>OPEX total</x:v>
      </x:c>
      <x:c r="B21" s="131" t="n">
        <x:f>SUM(B19:B20)</x:f>
        <x:v>-10.321547560298669</x:v>
      </x:c>
      <x:c r="C21" s="131" t="n">
        <x:f>SUM(C19:C20)</x:f>
        <x:v>-19.353127665065333</x:v>
      </x:c>
      <x:c r="D21" s="131" t="n">
        <x:f>SUM(D19:D20)</x:f>
        <x:v>-31.944257252396</x:v>
      </x:c>
      <x:c r="E21" s="131" t="n">
        <x:f>SUM(E19:E20)</x:f>
        <x:v>-16.038000000000004</x:v>
      </x:c>
      <x:c r="F21" s="14" t="str">
        <x:v>Personal + no-personal</x:v>
      </x:c>
      <x:c r="G21" s="121"/>
      <x:c r="H21" s="122"/>
    </x:row>
    <x:row r="22">
      <x:c r="A22" s="130" t="str">
        <x:v>EBITDA</x:v>
      </x:c>
      <x:c r="B22" s="29" t="n">
        <x:f>B17+B21</x:f>
        <x:v>-3.8360015602986675</x:v>
      </x:c>
      <x:c r="C22" s="29" t="n">
        <x:f>C17+C21</x:f>
        <x:v>12.386525562934665</x:v>
      </x:c>
      <x:c r="D22" s="29" t="n">
        <x:f>D17+D21</x:f>
        <x:v>37.80800414527067</x:v>
      </x:c>
      <x:c r="E22" s="29" t="n">
        <x:f>E17+E21</x:f>
        <x:v>131.072736094</x:v>
      </x:c>
      <x:c r="F22" s="29" t="str">
        <x:v>Margen bruto + OPEX total</x:v>
      </x:c>
      <x:c r="G22" s="121"/>
      <x:c r="H22" s="122"/>
    </x:row>
    <x:row r="23">
      <x:c r="A23" s="13" t="str">
        <x:v>% margen EBITDA</x:v>
      </x:c>
      <x:c r="B23" s="136" t="n">
        <x:f>IF(B6=0,0,B22/B6)</x:f>
        <x:v>-0.4009606285566079</x:v>
      </x:c>
      <x:c r="C23" s="136" t="n">
        <x:f>IF(C6=0,0,C22/C6)</x:f>
        <x:v>0.28236026780073203</x:v>
      </x:c>
      <x:c r="D23" s="136" t="n">
        <x:f>IF(D6=0,0,D22/D6)</x:f>
        <x:v>0.4004283243738242</x:v>
      </x:c>
      <x:c r="E23" s="136" t="n">
        <x:f>IF(E6=0,0,E22/E6)</x:f>
        <x:v>0.6825701056847038</x:v>
      </x:c>
      <x:c r="F23" s="14" t="str">
        <x:v>EBITDA / ingresos</x:v>
      </x:c>
      <x:c r="G23" s="121"/>
      <x:c r="H23" s="122"/>
    </x:row>
    <x:row r="24">
      <x:c r="A24" s="13" t="str">
        <x:v>Amortizacion / D&amp;A</x:v>
      </x:c>
      <x:c r="B24" s="131" t="n">
        <x:f>-'01_Supuestos'!B60</x:f>
        <x:v>-0.45</x:v>
      </x:c>
      <x:c r="C24" s="131" t="n">
        <x:f>-'01_Supuestos'!C60</x:f>
        <x:v>-0.75</x:v>
      </x:c>
      <x:c r="D24" s="131" t="n">
        <x:f>-'01_Supuestos'!D60</x:f>
        <x:v>-1.1</x:v>
      </x:c>
      <x:c r="E24" s="131" t="n">
        <x:f>-'01_Supuestos'!E60</x:f>
        <x:v>-1.55</x:v>
      </x:c>
      <x:c r="F24" s="14" t="str">
        <x:v>Depreciacion y amortizacion contable</x:v>
      </x:c>
      <x:c r="G24" s="121"/>
      <x:c r="H24" s="122"/>
    </x:row>
    <x:row r="25">
      <x:c r="A25" s="13" t="str">
        <x:v>EBIT</x:v>
      </x:c>
      <x:c r="B25" s="131" t="n">
        <x:f>B22+B24</x:f>
        <x:v>-4.286001560298668</x:v>
      </x:c>
      <x:c r="C25" s="131" t="n">
        <x:f>C22+C24</x:f>
        <x:v>11.636525562934665</x:v>
      </x:c>
      <x:c r="D25" s="131" t="n">
        <x:f>D22+D24</x:f>
        <x:v>36.70800414527067</x:v>
      </x:c>
      <x:c r="E25" s="131" t="n">
        <x:f>E22+E24</x:f>
        <x:v>129.52273609399998</x:v>
      </x:c>
      <x:c r="F25" s="14" t="str">
        <x:v>EBITDA + D&amp;A</x:v>
      </x:c>
      <x:c r="G25" s="121"/>
      <x:c r="H25" s="122"/>
    </x:row>
    <x:row r="26">
      <x:c r="A26" s="13" t="str">
        <x:v>Resultado financiero</x:v>
      </x:c>
      <x:c r="B26" s="131" t="n">
        <x:f>-'01_Supuestos'!B61</x:f>
        <x:v>-0.21</x:v>
      </x:c>
      <x:c r="C26" s="131" t="n">
        <x:f>-'01_Supuestos'!C61</x:f>
        <x:v>-0.105</x:v>
      </x:c>
      <x:c r="D26" s="131" t="n">
        <x:f>-'01_Supuestos'!D61</x:f>
        <x:v>0</x:v>
      </x:c>
      <x:c r="E26" s="131" t="n">
        <x:f>-'01_Supuestos'!E61</x:f>
        <x:v>0</x:v>
      </x:c>
      <x:c r="F26" s="14" t="str">
        <x:v>Gasto financiero estimado</x:v>
      </x:c>
      <x:c r="G26" s="121"/>
      <x:c r="H26" s="122"/>
    </x:row>
    <x:row r="27">
      <x:c r="A27" s="13" t="str">
        <x:v>Resultado antes de impuestos</x:v>
      </x:c>
      <x:c r="B27" s="131" t="n">
        <x:f>B25+B26</x:f>
        <x:v>-4.496001560298668</x:v>
      </x:c>
      <x:c r="C27" s="131" t="n">
        <x:f>C25+C26</x:f>
        <x:v>11.531525562934664</x:v>
      </x:c>
      <x:c r="D27" s="131" t="n">
        <x:f>D25+D26</x:f>
        <x:v>36.70800414527067</x:v>
      </x:c>
      <x:c r="E27" s="131" t="n">
        <x:f>E25+E26</x:f>
        <x:v>129.52273609399998</x:v>
      </x:c>
      <x:c r="F27" s="14" t="str">
        <x:v>EBIT + resultado financiero</x:v>
      </x:c>
      <x:c r="G27" s="121"/>
      <x:c r="H27" s="122"/>
    </x:row>
    <x:row r="28">
      <x:c r="A28" s="13" t="str">
        <x:v>Impuesto sobre sociedades</x:v>
      </x:c>
      <x:c r="B28" s="131" t="n">
        <x:f>-MAX(0,B27*'01_Supuestos'!B58)</x:f>
        <x:v>0</x:v>
      </x:c>
      <x:c r="C28" s="131" t="n">
        <x:f>-MAX(0,C27*'01_Supuestos'!C58)</x:f>
        <x:v>-2.882881390733666</x:v>
      </x:c>
      <x:c r="D28" s="131" t="n">
        <x:f>-MAX(0,D27*'01_Supuestos'!D58)</x:f>
        <x:v>-9.177001036317668</x:v>
      </x:c>
      <x:c r="E28" s="131" t="n">
        <x:f>-MAX(0,E27*'01_Supuestos'!E58)</x:f>
        <x:v>-32.380684023499995</x:v>
      </x:c>
      <x:c r="F28" s="14" t="str">
        <x:v>Sobre EBT positivo</x:v>
      </x:c>
      <x:c r="G28" s="121"/>
      <x:c r="H28" s="122"/>
    </x:row>
    <x:row r="29">
      <x:c r="A29" s="130" t="str">
        <x:v>Resultado neto</x:v>
      </x:c>
      <x:c r="B29" s="29" t="n">
        <x:f>B27+B28</x:f>
        <x:v>-4.496001560298668</x:v>
      </x:c>
      <x:c r="C29" s="29" t="n">
        <x:f>C27+C28</x:f>
        <x:v>8.648644172201</x:v>
      </x:c>
      <x:c r="D29" s="29" t="n">
        <x:f>D27+D28</x:f>
        <x:v>27.531003108953</x:v>
      </x:c>
      <x:c r="E29" s="29" t="n">
        <x:f>E27+E28</x:f>
        <x:v>97.14205207049999</x:v>
      </x:c>
      <x:c r="F29" s="29" t="str">
        <x:v>EBT + impuestos</x:v>
      </x:c>
      <x:c r="G29" s="121"/>
      <x:c r="H29" s="122"/>
    </x:row>
    <x:row r="30">
      <x:c r="A30" s="13" t="str">
        <x:v>% margen neto</x:v>
      </x:c>
      <x:c r="B30" s="136" t="n">
        <x:f>IF(B6=0,0,B29/B6)</x:f>
        <x:v>-0.46994756995575504</x:v>
      </x:c>
      <x:c r="C30" s="136" t="n">
        <x:f>IF(C6=0,0,C29/C6)</x:f>
        <x:v>0.1971524195520522</x:v>
      </x:c>
      <x:c r="D30" s="136" t="n">
        <x:f>IF(D6=0,0,D29/D6)</x:f>
        <x:v>0.2915835863985322</x:v>
      </x:c>
      <x:c r="E30" s="136" t="n">
        <x:f>IF(E6=0,0,E29/E6)</x:f>
        <x:v>0.5058737821772336</x:v>
      </x:c>
      <x:c r="F30" s="14" t="str">
        <x:v>Resultado neto / ingresos</x:v>
      </x:c>
      <x:c r="G30" s="121"/>
      <x:c r="H30" s="122"/>
    </x:row>
    <x:row r="31">
      <x:c r="A31" s="13"/>
      <x:c r="B31" s="14"/>
      <x:c r="C31" s="14"/>
      <x:c r="D31" s="14"/>
      <x:c r="E31" s="14"/>
      <x:c r="F31" s="14"/>
      <x:c r="G31" s="121"/>
      <x:c r="H31" s="122"/>
    </x:row>
    <x:row r="32">
      <x:c r="A32" s="13"/>
      <x:c r="B32" s="14"/>
      <x:c r="C32" s="14"/>
      <x:c r="D32" s="14"/>
      <x:c r="E32" s="14"/>
      <x:c r="F32" s="14"/>
      <x:c r="G32" s="121"/>
      <x:c r="H32" s="122"/>
    </x:row>
    <x:row r="33">
      <x:c r="A33" s="13"/>
      <x:c r="B33" s="14"/>
      <x:c r="C33" s="14"/>
      <x:c r="D33" s="14"/>
      <x:c r="E33" s="14"/>
      <x:c r="F33" s="14"/>
      <x:c r="G33" s="121"/>
      <x:c r="H33" s="122"/>
    </x:row>
    <x:row r="34">
      <x:c r="A34" s="13"/>
      <x:c r="B34" s="14"/>
      <x:c r="C34" s="14"/>
      <x:c r="D34" s="14"/>
      <x:c r="E34" s="14"/>
      <x:c r="F34" s="14"/>
      <x:c r="G34" s="121"/>
      <x:c r="H34" s="122"/>
    </x:row>
    <x:row r="35">
      <x:c r="A35" s="13"/>
      <x:c r="B35" s="14"/>
      <x:c r="C35" s="14"/>
      <x:c r="D35" s="14"/>
      <x:c r="E35" s="14"/>
      <x:c r="F35" s="14"/>
      <x:c r="G35" s="121"/>
      <x:c r="H35" s="122"/>
    </x:row>
    <x:row r="36">
      <x:c r="A36" s="13"/>
      <x:c r="B36" s="14"/>
      <x:c r="C36" s="14"/>
      <x:c r="D36" s="14"/>
      <x:c r="E36" s="14"/>
      <x:c r="F36" s="14"/>
      <x:c r="G36" s="121"/>
      <x:c r="H36" s="122"/>
    </x:row>
    <x:row r="37">
      <x:c r="A37" s="13"/>
      <x:c r="B37" s="14"/>
      <x:c r="C37" s="14"/>
      <x:c r="D37" s="14"/>
      <x:c r="E37" s="14"/>
      <x:c r="F37" s="14"/>
      <x:c r="G37" s="121"/>
      <x:c r="H37" s="122"/>
    </x:row>
    <x:row r="38">
      <x:c r="A38" s="13"/>
      <x:c r="B38" s="14"/>
      <x:c r="C38" s="14"/>
      <x:c r="D38" s="14"/>
      <x:c r="E38" s="14"/>
      <x:c r="F38" s="14"/>
      <x:c r="G38" s="121"/>
      <x:c r="H38" s="122"/>
    </x:row>
    <x:row r="39">
      <x:c r="A39" s="13"/>
      <x:c r="B39" s="14"/>
      <x:c r="C39" s="14"/>
      <x:c r="D39" s="14"/>
      <x:c r="E39" s="14"/>
      <x:c r="F39" s="14"/>
      <x:c r="G39" s="121"/>
      <x:c r="H39" s="122"/>
    </x:row>
    <x:row r="40">
      <x:c r="A40" s="13"/>
      <x:c r="B40" s="14"/>
      <x:c r="C40" s="14"/>
      <x:c r="D40" s="14"/>
      <x:c r="E40" s="14"/>
      <x:c r="F40" s="14"/>
      <x:c r="G40" s="121"/>
      <x:c r="H40" s="122"/>
    </x:row>
    <x:row r="41">
      <x:c r="A41" s="13"/>
      <x:c r="B41" s="14"/>
      <x:c r="C41" s="14"/>
      <x:c r="D41" s="14"/>
      <x:c r="E41" s="14"/>
      <x:c r="F41" s="14"/>
      <x:c r="G41" s="121"/>
      <x:c r="H41" s="122"/>
    </x:row>
    <x:row r="42">
      <x:c r="A42" s="13"/>
      <x:c r="B42" s="14"/>
      <x:c r="C42" s="14"/>
      <x:c r="D42" s="14"/>
      <x:c r="E42" s="14"/>
      <x:c r="F42" s="14"/>
      <x:c r="G42" s="121"/>
      <x:c r="H42" s="122"/>
    </x:row>
    <x:row r="43">
      <x:c r="A43" s="13"/>
      <x:c r="B43" s="14"/>
      <x:c r="C43" s="14"/>
      <x:c r="D43" s="14"/>
      <x:c r="E43" s="14"/>
      <x:c r="F43" s="14"/>
      <x:c r="G43" s="121"/>
      <x:c r="H43" s="122"/>
    </x:row>
    <x:row r="44">
      <x:c r="A44" s="13"/>
      <x:c r="B44" s="14"/>
      <x:c r="C44" s="14"/>
      <x:c r="D44" s="14"/>
      <x:c r="E44" s="14"/>
      <x:c r="F44" s="14"/>
      <x:c r="G44" s="121"/>
      <x:c r="H44" s="122"/>
    </x:row>
    <x:row r="45">
      <x:c r="A45" s="13"/>
      <x:c r="B45" s="14"/>
      <x:c r="C45" s="14"/>
      <x:c r="D45" s="14"/>
      <x:c r="E45" s="14"/>
      <x:c r="F45" s="14"/>
      <x:c r="G45" s="121"/>
      <x:c r="H45" s="122"/>
    </x:row>
    <x:row r="46">
      <x:c r="A46" s="13"/>
      <x:c r="B46" s="14"/>
      <x:c r="C46" s="14"/>
      <x:c r="D46" s="14"/>
      <x:c r="E46" s="14"/>
      <x:c r="F46" s="14"/>
      <x:c r="G46" s="121"/>
      <x:c r="H46" s="122"/>
    </x:row>
    <x:row r="47">
      <x:c r="A47" s="13"/>
      <x:c r="B47" s="14"/>
      <x:c r="C47" s="14"/>
      <x:c r="D47" s="14"/>
      <x:c r="E47" s="14"/>
      <x:c r="F47" s="14"/>
      <x:c r="G47" s="121"/>
      <x:c r="H47" s="122"/>
    </x:row>
    <x:row r="48">
      <x:c r="A48" s="13"/>
      <x:c r="B48" s="14"/>
      <x:c r="C48" s="14"/>
      <x:c r="D48" s="14"/>
      <x:c r="E48" s="14"/>
      <x:c r="F48" s="14"/>
      <x:c r="G48" s="121"/>
      <x:c r="H48" s="122"/>
    </x:row>
    <x:row r="49">
      <x:c r="A49" s="13"/>
      <x:c r="B49" s="14"/>
      <x:c r="C49" s="14"/>
      <x:c r="D49" s="14"/>
      <x:c r="E49" s="14"/>
      <x:c r="F49" s="14"/>
      <x:c r="G49" s="121"/>
      <x:c r="H49" s="122"/>
    </x:row>
    <x:row r="50">
      <x:c r="A50" s="13"/>
      <x:c r="B50" s="14"/>
      <x:c r="C50" s="14"/>
      <x:c r="D50" s="14"/>
      <x:c r="E50" s="14"/>
      <x:c r="F50" s="14"/>
      <x:c r="G50" s="121"/>
      <x:c r="H50" s="122"/>
    </x:row>
    <x:row r="51">
      <x:c r="A51" s="13"/>
      <x:c r="B51" s="14"/>
      <x:c r="C51" s="14"/>
      <x:c r="D51" s="14"/>
      <x:c r="E51" s="14"/>
      <x:c r="F51" s="14"/>
      <x:c r="G51" s="121"/>
      <x:c r="H51" s="122"/>
    </x:row>
    <x:row r="52">
      <x:c r="A52" s="13"/>
      <x:c r="B52" s="14"/>
      <x:c r="C52" s="14"/>
      <x:c r="D52" s="14"/>
      <x:c r="E52" s="14"/>
      <x:c r="F52" s="14"/>
      <x:c r="G52" s="121"/>
      <x:c r="H52" s="122"/>
    </x:row>
    <x:row r="53">
      <x:c r="A53" s="13"/>
      <x:c r="B53" s="14"/>
      <x:c r="C53" s="14"/>
      <x:c r="D53" s="14"/>
      <x:c r="E53" s="14"/>
      <x:c r="F53" s="14"/>
      <x:c r="G53" s="121"/>
      <x:c r="H53" s="122"/>
    </x:row>
    <x:row r="54">
      <x:c r="A54" s="13"/>
      <x:c r="B54" s="14"/>
      <x:c r="C54" s="14"/>
      <x:c r="D54" s="14"/>
      <x:c r="E54" s="14"/>
      <x:c r="F54" s="14"/>
      <x:c r="G54" s="121"/>
      <x:c r="H54" s="122"/>
    </x:row>
    <x:row r="55">
      <x:c r="A55" s="13"/>
      <x:c r="B55" s="14"/>
      <x:c r="C55" s="14"/>
      <x:c r="D55" s="14"/>
      <x:c r="E55" s="14"/>
      <x:c r="F55" s="14"/>
      <x:c r="G55" s="121"/>
      <x:c r="H55" s="122"/>
    </x:row>
    <x:row r="56">
      <x:c r="A56" s="13"/>
      <x:c r="B56" s="14"/>
      <x:c r="C56" s="14"/>
      <x:c r="D56" s="14"/>
      <x:c r="E56" s="14"/>
      <x:c r="F56" s="14"/>
      <x:c r="G56" s="121"/>
      <x:c r="H56" s="122"/>
    </x:row>
    <x:row r="57">
      <x:c r="A57" s="13"/>
      <x:c r="B57" s="14"/>
      <x:c r="C57" s="14"/>
      <x:c r="D57" s="14"/>
      <x:c r="E57" s="14"/>
      <x:c r="F57" s="14"/>
      <x:c r="G57" s="121"/>
      <x:c r="H57" s="122"/>
    </x:row>
    <x:row r="58">
      <x:c r="A58" s="13"/>
      <x:c r="B58" s="14"/>
      <x:c r="C58" s="14"/>
      <x:c r="D58" s="14"/>
      <x:c r="E58" s="14"/>
      <x:c r="F58" s="14"/>
      <x:c r="G58" s="121"/>
      <x:c r="H58" s="122"/>
    </x:row>
    <x:row r="59">
      <x:c r="A59" s="13"/>
      <x:c r="B59" s="14"/>
      <x:c r="C59" s="14"/>
      <x:c r="D59" s="14"/>
      <x:c r="E59" s="14"/>
      <x:c r="F59" s="14"/>
      <x:c r="G59" s="121"/>
      <x:c r="H59" s="122"/>
    </x:row>
    <x:row r="60">
      <x:c r="A60" s="13"/>
      <x:c r="B60" s="14"/>
      <x:c r="C60" s="14"/>
      <x:c r="D60" s="14"/>
      <x:c r="E60" s="14"/>
      <x:c r="F60" s="14"/>
      <x:c r="G60" s="121"/>
      <x:c r="H60" s="122"/>
    </x:row>
    <x:row r="61">
      <x:c r="A61" s="13"/>
      <x:c r="B61" s="14"/>
      <x:c r="C61" s="14"/>
      <x:c r="D61" s="14"/>
      <x:c r="E61" s="14"/>
      <x:c r="F61" s="14"/>
      <x:c r="G61" s="121"/>
      <x:c r="H61" s="122"/>
    </x:row>
    <x:row r="62">
      <x:c r="A62" s="13"/>
      <x:c r="B62" s="14"/>
      <x:c r="C62" s="14"/>
      <x:c r="D62" s="14"/>
      <x:c r="E62" s="14"/>
      <x:c r="F62" s="14"/>
      <x:c r="G62" s="121"/>
      <x:c r="H62" s="122"/>
    </x:row>
    <x:row r="63">
      <x:c r="A63" s="13"/>
      <x:c r="B63" s="14"/>
      <x:c r="C63" s="14"/>
      <x:c r="D63" s="14"/>
      <x:c r="E63" s="14"/>
      <x:c r="F63" s="14"/>
      <x:c r="G63" s="121"/>
      <x:c r="H63" s="122"/>
    </x:row>
    <x:row r="64">
      <x:c r="A64" s="13"/>
      <x:c r="B64" s="14"/>
      <x:c r="C64" s="14"/>
      <x:c r="D64" s="14"/>
      <x:c r="E64" s="14"/>
      <x:c r="F64" s="14"/>
      <x:c r="G64" s="121"/>
      <x:c r="H64" s="122"/>
    </x:row>
    <x:row r="65">
      <x:c r="A65" s="13"/>
      <x:c r="B65" s="14"/>
      <x:c r="C65" s="14"/>
      <x:c r="D65" s="14"/>
      <x:c r="E65" s="14"/>
      <x:c r="F65" s="14"/>
      <x:c r="G65" s="121"/>
      <x:c r="H65" s="122"/>
    </x:row>
    <x:row r="66">
      <x:c r="A66" s="13"/>
      <x:c r="B66" s="14"/>
      <x:c r="C66" s="14"/>
      <x:c r="D66" s="14"/>
      <x:c r="E66" s="14"/>
      <x:c r="F66" s="14"/>
      <x:c r="G66" s="121"/>
      <x:c r="H66" s="122"/>
    </x:row>
    <x:row r="67">
      <x:c r="A67" s="13"/>
      <x:c r="B67" s="14"/>
      <x:c r="C67" s="14"/>
      <x:c r="D67" s="14"/>
      <x:c r="E67" s="14"/>
      <x:c r="F67" s="14"/>
      <x:c r="G67" s="121"/>
      <x:c r="H67" s="122"/>
    </x:row>
    <x:row r="68">
      <x:c r="A68" s="13"/>
      <x:c r="B68" s="14"/>
      <x:c r="C68" s="14"/>
      <x:c r="D68" s="14"/>
      <x:c r="E68" s="14"/>
      <x:c r="F68" s="14"/>
      <x:c r="G68" s="121"/>
      <x:c r="H68" s="122"/>
    </x:row>
    <x:row r="69">
      <x:c r="A69" s="13"/>
      <x:c r="B69" s="14"/>
      <x:c r="C69" s="14"/>
      <x:c r="D69" s="14"/>
      <x:c r="E69" s="14"/>
      <x:c r="F69" s="14"/>
      <x:c r="G69" s="121"/>
      <x:c r="H69" s="122"/>
    </x:row>
    <x:row r="70">
      <x:c r="A70" s="13"/>
      <x:c r="B70" s="14"/>
      <x:c r="C70" s="14"/>
      <x:c r="D70" s="14"/>
      <x:c r="E70" s="14"/>
      <x:c r="F70" s="14"/>
      <x:c r="G70" s="121"/>
      <x:c r="H70" s="122"/>
    </x:row>
    <x:row r="71">
      <x:c r="A71" s="13"/>
      <x:c r="B71" s="14"/>
      <x:c r="C71" s="14"/>
      <x:c r="D71" s="14"/>
      <x:c r="E71" s="14"/>
      <x:c r="F71" s="14"/>
      <x:c r="G71" s="121"/>
      <x:c r="H71" s="122"/>
    </x:row>
    <x:row r="72">
      <x:c r="A72" s="13"/>
      <x:c r="B72" s="14"/>
      <x:c r="C72" s="14"/>
      <x:c r="D72" s="14"/>
      <x:c r="E72" s="14"/>
      <x:c r="F72" s="14"/>
      <x:c r="G72" s="121"/>
      <x:c r="H72" s="122"/>
    </x:row>
    <x:row r="73">
      <x:c r="A73" s="13"/>
      <x:c r="B73" s="14"/>
      <x:c r="C73" s="14"/>
      <x:c r="D73" s="14"/>
      <x:c r="E73" s="14"/>
      <x:c r="F73" s="14"/>
      <x:c r="G73" s="121"/>
      <x:c r="H73" s="122"/>
    </x:row>
    <x:row r="74">
      <x:c r="A74" s="13"/>
      <x:c r="B74" s="14"/>
      <x:c r="C74" s="14"/>
      <x:c r="D74" s="14"/>
      <x:c r="E74" s="14"/>
      <x:c r="F74" s="14"/>
      <x:c r="G74" s="121"/>
      <x:c r="H74" s="122"/>
    </x:row>
    <x:row r="75">
      <x:c r="A75" s="13"/>
      <x:c r="B75" s="14"/>
      <x:c r="C75" s="14"/>
      <x:c r="D75" s="14"/>
      <x:c r="E75" s="14"/>
      <x:c r="F75" s="14"/>
      <x:c r="G75" s="121"/>
      <x:c r="H75" s="122"/>
    </x:row>
    <x:row r="76">
      <x:c r="A76" s="13"/>
      <x:c r="B76" s="14"/>
      <x:c r="C76" s="14"/>
      <x:c r="D76" s="14"/>
      <x:c r="E76" s="14"/>
      <x:c r="F76" s="14"/>
      <x:c r="G76" s="121"/>
      <x:c r="H76" s="122"/>
    </x:row>
    <x:row r="77">
      <x:c r="A77" s="13"/>
      <x:c r="B77" s="14"/>
      <x:c r="C77" s="14"/>
      <x:c r="D77" s="14"/>
      <x:c r="E77" s="14"/>
      <x:c r="F77" s="14"/>
      <x:c r="G77" s="121"/>
      <x:c r="H77" s="122"/>
    </x:row>
    <x:row r="78">
      <x:c r="A78" s="13"/>
      <x:c r="B78" s="14"/>
      <x:c r="C78" s="14"/>
      <x:c r="D78" s="14"/>
      <x:c r="E78" s="14"/>
      <x:c r="F78" s="14"/>
      <x:c r="G78" s="121"/>
      <x:c r="H78" s="122"/>
    </x:row>
    <x:row r="79">
      <x:c r="A79" s="13"/>
      <x:c r="B79" s="14"/>
      <x:c r="C79" s="14"/>
      <x:c r="D79" s="14"/>
      <x:c r="E79" s="14"/>
      <x:c r="F79" s="14"/>
      <x:c r="G79" s="121"/>
      <x:c r="H79" s="122"/>
    </x:row>
    <x:row r="80">
      <x:c r="A80" s="16"/>
      <x:c r="B80" s="17"/>
      <x:c r="C80" s="17"/>
      <x:c r="D80" s="17"/>
      <x:c r="E80" s="17"/>
      <x:c r="F80" s="17"/>
      <x:c r="G80" s="127"/>
      <x:c r="H80" s="128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4" hidden="0" customWidth="1"/>
    <x:col min="7" max="7" width="38" hidden="0" customWidth="1"/>
    <x:col min="8" max="8" width="38" hidden="0" customWidth="1"/>
  </x:cols>
  <x:sheetData>
    <x:row r="1">
      <x:c r="A1" s="107" t="str">
        <x:v>07 Caja, CAPEX y working capital</x:v>
      </x:c>
      <x:c r="B1" s="108" t="str"/>
      <x:c r="C1" s="108" t="str"/>
      <x:c r="D1" s="108" t="str"/>
      <x:c r="E1" s="108" t="str"/>
      <x:c r="F1" s="109" t="str"/>
      <x:c r="G1" s="119"/>
      <x:c r="H1" s="120"/>
    </x:row>
    <x:row r="2">
      <x:c r="A2" s="111" t="str">
        <x:v>FCF antes de financiacion y caja final. EUR M.</x:v>
      </x:c>
      <x:c r="B2" s="112" t="str"/>
      <x:c r="C2" s="112" t="str"/>
      <x:c r="D2" s="112" t="str"/>
      <x:c r="E2" s="112" t="str"/>
      <x:c r="F2" s="112" t="str"/>
      <x:c r="G2" s="121"/>
      <x:c r="H2" s="122"/>
    </x:row>
    <x:row r="3">
      <x:c r="A3" s="13" t="str"/>
      <x:c r="B3" s="14" t="str"/>
      <x:c r="C3" s="14" t="str"/>
      <x:c r="D3" s="14" t="str"/>
      <x:c r="E3" s="14" t="str"/>
      <x:c r="F3" s="14" t="str"/>
      <x:c r="G3" s="121"/>
      <x:c r="H3" s="122"/>
    </x:row>
    <x:row r="4">
      <x:c r="A4" s="13"/>
      <x:c r="B4" s="14"/>
      <x:c r="C4" s="14"/>
      <x:c r="D4" s="14"/>
      <x:c r="E4" s="14"/>
      <x:c r="F4" s="14"/>
      <x:c r="G4" s="121"/>
      <x:c r="H4" s="122"/>
    </x:row>
    <x:row r="5">
      <x:c r="A5" s="114" t="str">
        <x:v>Concepto</x:v>
      </x:c>
      <x:c r="B5" s="125" t="str">
        <x:v>2026/27</x:v>
      </x:c>
      <x:c r="C5" s="125" t="str">
        <x:v>2028</x:v>
      </x:c>
      <x:c r="D5" s="125" t="str">
        <x:v>2029</x:v>
      </x:c>
      <x:c r="E5" s="125" t="str">
        <x:v>2030</x:v>
      </x:c>
      <x:c r="F5" s="115" t="str">
        <x:v>Notas / driver</x:v>
      </x:c>
      <x:c r="G5" s="121"/>
      <x:c r="H5" s="122"/>
    </x:row>
    <x:row r="6">
      <x:c r="A6" s="13" t="str">
        <x:v>EBITDA</x:v>
      </x:c>
      <x:c r="B6" s="131" t="n">
        <x:f>'06_Cuenta_Resultados'!B22</x:f>
        <x:v>-3.8360015602986675</x:v>
      </x:c>
      <x:c r="C6" s="131" t="n">
        <x:f>'06_Cuenta_Resultados'!C22</x:f>
        <x:v>12.386525562934665</x:v>
      </x:c>
      <x:c r="D6" s="131" t="n">
        <x:f>'06_Cuenta_Resultados'!D22</x:f>
        <x:v>37.80800414527067</x:v>
      </x:c>
      <x:c r="E6" s="131" t="n">
        <x:f>'06_Cuenta_Resultados'!E22</x:f>
        <x:v>131.072736094</x:v>
      </x:c>
      <x:c r="F6" s="14" t="str">
        <x:v>Desde cuenta de resultados</x:v>
      </x:c>
      <x:c r="G6" s="121"/>
      <x:c r="H6" s="122"/>
    </x:row>
    <x:row r="7">
      <x:c r="A7" s="13" t="str">
        <x:v>Ingresos</x:v>
      </x:c>
      <x:c r="B7" s="131" t="n">
        <x:f>'02_Detalle_Ingresos'!B42</x:f>
        <x:v>9.567028</x:v>
      </x:c>
      <x:c r="C7" s="131" t="n">
        <x:f>'02_Detalle_Ingresos'!C42</x:f>
        <x:v>43.86780639999999</x:v>
      </x:c>
      <x:c r="D7" s="131" t="n">
        <x:f>'02_Detalle_Ingresos'!D42</x:f>
        <x:v>94.41890556666667</x:v>
      </x:c>
      <x:c r="E7" s="131" t="n">
        <x:f>'02_Detalle_Ingresos'!E42</x:f>
        <x:v>192.02824003333333</x:v>
      </x:c>
      <x:c r="F7" s="14" t="str">
        <x:v>Desde Detalle de ingresos</x:v>
      </x:c>
      <x:c r="G7" s="121"/>
      <x:c r="H7" s="122"/>
    </x:row>
    <x:row r="8">
      <x:c r="A8" s="13" t="str">
        <x:v>Crecimiento ingresos</x:v>
      </x:c>
      <x:c r="B8" s="131" t="n">
        <x:f>B7</x:f>
        <x:v>9.567028</x:v>
      </x:c>
      <x:c r="C8" s="131" t="n">
        <x:f>C7-B7</x:f>
        <x:v>34.30077839999999</x:v>
      </x:c>
      <x:c r="D8" s="131" t="n">
        <x:f>D7-C7</x:f>
        <x:v>50.551099166666674</x:v>
      </x:c>
      <x:c r="E8" s="131" t="n">
        <x:f>E7-D7</x:f>
        <x:v>97.60933446666667</x:v>
      </x:c>
      <x:c r="F8" s="14" t="str">
        <x:v>Primer periodo usa ingresos del periodo; siguientes son variacion vs periodo anterior.</x:v>
      </x:c>
      <x:c r="G8" s="121"/>
      <x:c r="H8" s="122"/>
    </x:row>
    <x:row r="9">
      <x:c r="A9" s="13" t="str">
        <x:v>Working capital incremental</x:v>
      </x:c>
      <x:c r="B9" s="131" t="n">
        <x:f>-MAX(0,B8)*'01_Supuestos'!B56</x:f>
        <x:v>-1.4350542</x:v>
      </x:c>
      <x:c r="C9" s="131" t="n">
        <x:f>-MAX(0,C8)*'01_Supuestos'!C56</x:f>
        <x:v>-5.488124543999999</x:v>
      </x:c>
      <x:c r="D9" s="131" t="n">
        <x:f>-MAX(0,D8)*'01_Supuestos'!D56</x:f>
        <x:v>-8.593686858333335</x:v>
      </x:c>
      <x:c r="E9" s="131" t="n">
        <x:f>-MAX(0,E8)*'01_Supuestos'!E56</x:f>
        <x:v>-17.569680204</x:v>
      </x:c>
      <x:c r="F9" s="14" t="str">
        <x:v>Crecimiento positivo x WC %</x:v>
      </x:c>
      <x:c r="G9" s="121"/>
      <x:c r="H9" s="122"/>
    </x:row>
    <x:row r="10">
      <x:c r="A10" s="13" t="str">
        <x:v>Capex</x:v>
      </x:c>
      <x:c r="B10" s="131" t="n">
        <x:f>-'01_Supuestos'!B57</x:f>
        <x:v>-2</x:v>
      </x:c>
      <x:c r="C10" s="131" t="n">
        <x:f>-'01_Supuestos'!C57</x:f>
        <x:v>-2.5</x:v>
      </x:c>
      <x:c r="D10" s="131" t="n">
        <x:f>-'01_Supuestos'!D57</x:f>
        <x:v>-3</x:v>
      </x:c>
      <x:c r="E10" s="131" t="n">
        <x:f>-'01_Supuestos'!E57</x:f>
        <x:v>-4</x:v>
      </x:c>
      <x:c r="F10" s="14" t="str">
        <x:v>Desde supuestos</x:v>
      </x:c>
      <x:c r="G10" s="121"/>
      <x:c r="H10" s="122"/>
    </x:row>
    <x:row r="11">
      <x:c r="A11" s="13" t="str">
        <x:v>Impuestos pagados</x:v>
      </x:c>
      <x:c r="B11" s="131" t="n">
        <x:f>'06_Cuenta_Resultados'!B28</x:f>
        <x:v>0</x:v>
      </x:c>
      <x:c r="C11" s="131" t="n">
        <x:f>'06_Cuenta_Resultados'!C28</x:f>
        <x:v>-2.882881390733666</x:v>
      </x:c>
      <x:c r="D11" s="131" t="n">
        <x:f>'06_Cuenta_Resultados'!D28</x:f>
        <x:v>-9.177001036317668</x:v>
      </x:c>
      <x:c r="E11" s="131" t="n">
        <x:f>'06_Cuenta_Resultados'!E28</x:f>
        <x:v>-32.380684023499995</x:v>
      </x:c>
      <x:c r="F11" s="14" t="str">
        <x:v>Desde cuenta de resultados</x:v>
      </x:c>
      <x:c r="G11" s="121"/>
      <x:c r="H11" s="122"/>
    </x:row>
    <x:row r="12">
      <x:c r="A12" s="130" t="str">
        <x:v>FCF antes financiacion</x:v>
      </x:c>
      <x:c r="B12" s="29" t="n">
        <x:f>SUM(B6,B9:B11)</x:f>
        <x:v>-7.271055760298667</x:v>
      </x:c>
      <x:c r="C12" s="29" t="n">
        <x:f>SUM(C6,C9:C11)</x:f>
        <x:v>1.515519628201</x:v>
      </x:c>
      <x:c r="D12" s="29" t="n">
        <x:f>SUM(D6,D9:D11)</x:f>
        <x:v>17.037316250619668</x:v>
      </x:c>
      <x:c r="E12" s="29" t="n">
        <x:f>SUM(E6,E9:E11)</x:f>
        <x:v>77.1223718665</x:v>
      </x:c>
      <x:c r="F12" s="29" t="str">
        <x:v>EBITDA - WC - capex - impuestos</x:v>
      </x:c>
      <x:c r="G12" s="121"/>
      <x:c r="H12" s="122"/>
    </x:row>
    <x:row r="13">
      <x:c r="A13" s="13" t="str">
        <x:v>Financiacion</x:v>
      </x:c>
      <x:c r="B13" s="131" t="n">
        <x:f>'01_Supuestos'!B59</x:f>
        <x:v>3</x:v>
      </x:c>
      <x:c r="C13" s="131" t="n">
        <x:f>'01_Supuestos'!C59</x:f>
        <x:v>1.5</x:v>
      </x:c>
      <x:c r="D13" s="131" t="n">
        <x:f>'01_Supuestos'!D59</x:f>
        <x:v>0</x:v>
      </x:c>
      <x:c r="E13" s="131" t="n">
        <x:f>'01_Supuestos'!E59</x:f>
        <x:v>0</x:v>
      </x:c>
      <x:c r="F13" s="14" t="str">
        <x:v>Separada de EBITDA/FCF operativo</x:v>
      </x:c>
      <x:c r="G13" s="121"/>
      <x:c r="H13" s="122"/>
    </x:row>
    <x:row r="14">
      <x:c r="A14" s="13" t="str">
        <x:v>Flujo neto caja</x:v>
      </x:c>
      <x:c r="B14" s="131" t="n">
        <x:f>B12+B13</x:f>
        <x:v>-4.271055760298667</x:v>
      </x:c>
      <x:c r="C14" s="131" t="n">
        <x:f>C12+C13</x:f>
        <x:v>3.015519628201</x:v>
      </x:c>
      <x:c r="D14" s="131" t="n">
        <x:f>D12+D13</x:f>
        <x:v>17.037316250619668</x:v>
      </x:c>
      <x:c r="E14" s="131" t="n">
        <x:f>E12+E13</x:f>
        <x:v>77.1223718665</x:v>
      </x:c>
      <x:c r="F14" s="14" t="str">
        <x:v>FCF + financiacion</x:v>
      </x:c>
      <x:c r="G14" s="121"/>
      <x:c r="H14" s="122"/>
    </x:row>
    <x:row r="15">
      <x:c r="A15" s="130" t="str">
        <x:v>Caja final</x:v>
      </x:c>
      <x:c r="B15" s="29" t="n">
        <x:f>B14</x:f>
        <x:v>-4.271055760298667</x:v>
      </x:c>
      <x:c r="C15" s="29" t="n">
        <x:f>B15+C14</x:f>
        <x:v>-1.2555361320976672</x:v>
      </x:c>
      <x:c r="D15" s="29" t="n">
        <x:f>C15+D14</x:f>
        <x:v>15.781780118522</x:v>
      </x:c>
      <x:c r="E15" s="29" t="n">
        <x:f>D15+E14</x:f>
        <x:v>92.904151985022</x:v>
      </x:c>
      <x:c r="F15" s="29" t="str">
        <x:v>Caja acumulada</x:v>
      </x:c>
      <x:c r="G15" s="121"/>
      <x:c r="H15" s="122"/>
    </x:row>
    <x:row r="16">
      <x:c r="A16" s="13"/>
      <x:c r="B16" s="14"/>
      <x:c r="C16" s="14"/>
      <x:c r="D16" s="14"/>
      <x:c r="E16" s="14"/>
      <x:c r="F16" s="14"/>
      <x:c r="G16" s="121"/>
      <x:c r="H16" s="122"/>
    </x:row>
    <x:row r="17">
      <x:c r="A17" s="13"/>
      <x:c r="B17" s="14"/>
      <x:c r="C17" s="14"/>
      <x:c r="D17" s="14"/>
      <x:c r="E17" s="14"/>
      <x:c r="F17" s="14"/>
      <x:c r="G17" s="121"/>
      <x:c r="H17" s="122"/>
    </x:row>
    <x:row r="18">
      <x:c r="A18" s="13"/>
      <x:c r="B18" s="14"/>
      <x:c r="C18" s="14"/>
      <x:c r="D18" s="14"/>
      <x:c r="E18" s="14"/>
      <x:c r="F18" s="14"/>
      <x:c r="G18" s="121"/>
      <x:c r="H18" s="122"/>
    </x:row>
    <x:row r="19">
      <x:c r="A19" s="13"/>
      <x:c r="B19" s="14"/>
      <x:c r="C19" s="14"/>
      <x:c r="D19" s="14"/>
      <x:c r="E19" s="14"/>
      <x:c r="F19" s="14"/>
      <x:c r="G19" s="121"/>
      <x:c r="H19" s="122"/>
    </x:row>
    <x:row r="20">
      <x:c r="A20" s="13"/>
      <x:c r="B20" s="14"/>
      <x:c r="C20" s="14"/>
      <x:c r="D20" s="14"/>
      <x:c r="E20" s="14"/>
      <x:c r="F20" s="14"/>
      <x:c r="G20" s="121"/>
      <x:c r="H20" s="122"/>
    </x:row>
    <x:row r="21">
      <x:c r="A21" s="13"/>
      <x:c r="B21" s="14"/>
      <x:c r="C21" s="14"/>
      <x:c r="D21" s="14"/>
      <x:c r="E21" s="14"/>
      <x:c r="F21" s="14"/>
      <x:c r="G21" s="121"/>
      <x:c r="H21" s="122"/>
    </x:row>
    <x:row r="22">
      <x:c r="A22" s="13"/>
      <x:c r="B22" s="14"/>
      <x:c r="C22" s="14"/>
      <x:c r="D22" s="14"/>
      <x:c r="E22" s="14"/>
      <x:c r="F22" s="14"/>
      <x:c r="G22" s="121"/>
      <x:c r="H22" s="122"/>
    </x:row>
    <x:row r="23">
      <x:c r="A23" s="13"/>
      <x:c r="B23" s="14"/>
      <x:c r="C23" s="14"/>
      <x:c r="D23" s="14"/>
      <x:c r="E23" s="14"/>
      <x:c r="F23" s="14"/>
      <x:c r="G23" s="121"/>
      <x:c r="H23" s="122"/>
    </x:row>
    <x:row r="24">
      <x:c r="A24" s="13"/>
      <x:c r="B24" s="14"/>
      <x:c r="C24" s="14"/>
      <x:c r="D24" s="14"/>
      <x:c r="E24" s="14"/>
      <x:c r="F24" s="14"/>
      <x:c r="G24" s="121"/>
      <x:c r="H24" s="122"/>
    </x:row>
    <x:row r="25">
      <x:c r="A25" s="13"/>
      <x:c r="B25" s="14"/>
      <x:c r="C25" s="14"/>
      <x:c r="D25" s="14"/>
      <x:c r="E25" s="14"/>
      <x:c r="F25" s="14"/>
      <x:c r="G25" s="121"/>
      <x:c r="H25" s="122"/>
    </x:row>
    <x:row r="26">
      <x:c r="A26" s="13"/>
      <x:c r="B26" s="14"/>
      <x:c r="C26" s="14"/>
      <x:c r="D26" s="14"/>
      <x:c r="E26" s="14"/>
      <x:c r="F26" s="14"/>
      <x:c r="G26" s="121"/>
      <x:c r="H26" s="122"/>
    </x:row>
    <x:row r="27">
      <x:c r="A27" s="13"/>
      <x:c r="B27" s="14"/>
      <x:c r="C27" s="14"/>
      <x:c r="D27" s="14"/>
      <x:c r="E27" s="14"/>
      <x:c r="F27" s="14"/>
      <x:c r="G27" s="121"/>
      <x:c r="H27" s="122"/>
    </x:row>
    <x:row r="28">
      <x:c r="A28" s="13"/>
      <x:c r="B28" s="14"/>
      <x:c r="C28" s="14"/>
      <x:c r="D28" s="14"/>
      <x:c r="E28" s="14"/>
      <x:c r="F28" s="14"/>
      <x:c r="G28" s="121"/>
      <x:c r="H28" s="122"/>
    </x:row>
    <x:row r="29">
      <x:c r="A29" s="13"/>
      <x:c r="B29" s="14"/>
      <x:c r="C29" s="14"/>
      <x:c r="D29" s="14"/>
      <x:c r="E29" s="14"/>
      <x:c r="F29" s="14"/>
      <x:c r="G29" s="121"/>
      <x:c r="H29" s="122"/>
    </x:row>
    <x:row r="30">
      <x:c r="A30" s="13"/>
      <x:c r="B30" s="14"/>
      <x:c r="C30" s="14"/>
      <x:c r="D30" s="14"/>
      <x:c r="E30" s="14"/>
      <x:c r="F30" s="14"/>
      <x:c r="G30" s="121"/>
      <x:c r="H30" s="122"/>
    </x:row>
    <x:row r="31">
      <x:c r="A31" s="13"/>
      <x:c r="B31" s="14"/>
      <x:c r="C31" s="14"/>
      <x:c r="D31" s="14"/>
      <x:c r="E31" s="14"/>
      <x:c r="F31" s="14"/>
      <x:c r="G31" s="121"/>
      <x:c r="H31" s="122"/>
    </x:row>
    <x:row r="32">
      <x:c r="A32" s="13"/>
      <x:c r="B32" s="14"/>
      <x:c r="C32" s="14"/>
      <x:c r="D32" s="14"/>
      <x:c r="E32" s="14"/>
      <x:c r="F32" s="14"/>
      <x:c r="G32" s="121"/>
      <x:c r="H32" s="122"/>
    </x:row>
    <x:row r="33">
      <x:c r="A33" s="13"/>
      <x:c r="B33" s="14"/>
      <x:c r="C33" s="14"/>
      <x:c r="D33" s="14"/>
      <x:c r="E33" s="14"/>
      <x:c r="F33" s="14"/>
      <x:c r="G33" s="121"/>
      <x:c r="H33" s="122"/>
    </x:row>
    <x:row r="34">
      <x:c r="A34" s="13"/>
      <x:c r="B34" s="14"/>
      <x:c r="C34" s="14"/>
      <x:c r="D34" s="14"/>
      <x:c r="E34" s="14"/>
      <x:c r="F34" s="14"/>
      <x:c r="G34" s="121"/>
      <x:c r="H34" s="122"/>
    </x:row>
    <x:row r="35">
      <x:c r="A35" s="13"/>
      <x:c r="B35" s="14"/>
      <x:c r="C35" s="14"/>
      <x:c r="D35" s="14"/>
      <x:c r="E35" s="14"/>
      <x:c r="F35" s="14"/>
      <x:c r="G35" s="121"/>
      <x:c r="H35" s="122"/>
    </x:row>
    <x:row r="36">
      <x:c r="A36" s="13"/>
      <x:c r="B36" s="14"/>
      <x:c r="C36" s="14"/>
      <x:c r="D36" s="14"/>
      <x:c r="E36" s="14"/>
      <x:c r="F36" s="14"/>
      <x:c r="G36" s="121"/>
      <x:c r="H36" s="122"/>
    </x:row>
    <x:row r="37">
      <x:c r="A37" s="13"/>
      <x:c r="B37" s="14"/>
      <x:c r="C37" s="14"/>
      <x:c r="D37" s="14"/>
      <x:c r="E37" s="14"/>
      <x:c r="F37" s="14"/>
      <x:c r="G37" s="121"/>
      <x:c r="H37" s="122"/>
    </x:row>
    <x:row r="38">
      <x:c r="A38" s="13"/>
      <x:c r="B38" s="14"/>
      <x:c r="C38" s="14"/>
      <x:c r="D38" s="14"/>
      <x:c r="E38" s="14"/>
      <x:c r="F38" s="14"/>
      <x:c r="G38" s="121"/>
      <x:c r="H38" s="122"/>
    </x:row>
    <x:row r="39">
      <x:c r="A39" s="13"/>
      <x:c r="B39" s="14"/>
      <x:c r="C39" s="14"/>
      <x:c r="D39" s="14"/>
      <x:c r="E39" s="14"/>
      <x:c r="F39" s="14"/>
      <x:c r="G39" s="121"/>
      <x:c r="H39" s="122"/>
    </x:row>
    <x:row r="40">
      <x:c r="A40" s="13"/>
      <x:c r="B40" s="14"/>
      <x:c r="C40" s="14"/>
      <x:c r="D40" s="14"/>
      <x:c r="E40" s="14"/>
      <x:c r="F40" s="14"/>
      <x:c r="G40" s="121"/>
      <x:c r="H40" s="122"/>
    </x:row>
    <x:row r="41">
      <x:c r="A41" s="13"/>
      <x:c r="B41" s="14"/>
      <x:c r="C41" s="14"/>
      <x:c r="D41" s="14"/>
      <x:c r="E41" s="14"/>
      <x:c r="F41" s="14"/>
      <x:c r="G41" s="121"/>
      <x:c r="H41" s="122"/>
    </x:row>
    <x:row r="42">
      <x:c r="A42" s="13"/>
      <x:c r="B42" s="14"/>
      <x:c r="C42" s="14"/>
      <x:c r="D42" s="14"/>
      <x:c r="E42" s="14"/>
      <x:c r="F42" s="14"/>
      <x:c r="G42" s="121"/>
      <x:c r="H42" s="122"/>
    </x:row>
    <x:row r="43">
      <x:c r="A43" s="13"/>
      <x:c r="B43" s="14"/>
      <x:c r="C43" s="14"/>
      <x:c r="D43" s="14"/>
      <x:c r="E43" s="14"/>
      <x:c r="F43" s="14"/>
      <x:c r="G43" s="121"/>
      <x:c r="H43" s="122"/>
    </x:row>
    <x:row r="44">
      <x:c r="A44" s="13"/>
      <x:c r="B44" s="14"/>
      <x:c r="C44" s="14"/>
      <x:c r="D44" s="14"/>
      <x:c r="E44" s="14"/>
      <x:c r="F44" s="14"/>
      <x:c r="G44" s="121"/>
      <x:c r="H44" s="122"/>
    </x:row>
    <x:row r="45">
      <x:c r="A45" s="13"/>
      <x:c r="B45" s="14"/>
      <x:c r="C45" s="14"/>
      <x:c r="D45" s="14"/>
      <x:c r="E45" s="14"/>
      <x:c r="F45" s="14"/>
      <x:c r="G45" s="121"/>
      <x:c r="H45" s="122"/>
    </x:row>
    <x:row r="46">
      <x:c r="A46" s="13"/>
      <x:c r="B46" s="14"/>
      <x:c r="C46" s="14"/>
      <x:c r="D46" s="14"/>
      <x:c r="E46" s="14"/>
      <x:c r="F46" s="14"/>
      <x:c r="G46" s="121"/>
      <x:c r="H46" s="122"/>
    </x:row>
    <x:row r="47">
      <x:c r="A47" s="13"/>
      <x:c r="B47" s="14"/>
      <x:c r="C47" s="14"/>
      <x:c r="D47" s="14"/>
      <x:c r="E47" s="14"/>
      <x:c r="F47" s="14"/>
      <x:c r="G47" s="121"/>
      <x:c r="H47" s="122"/>
    </x:row>
    <x:row r="48">
      <x:c r="A48" s="13"/>
      <x:c r="B48" s="14"/>
      <x:c r="C48" s="14"/>
      <x:c r="D48" s="14"/>
      <x:c r="E48" s="14"/>
      <x:c r="F48" s="14"/>
      <x:c r="G48" s="121"/>
      <x:c r="H48" s="122"/>
    </x:row>
    <x:row r="49">
      <x:c r="A49" s="13"/>
      <x:c r="B49" s="14"/>
      <x:c r="C49" s="14"/>
      <x:c r="D49" s="14"/>
      <x:c r="E49" s="14"/>
      <x:c r="F49" s="14"/>
      <x:c r="G49" s="121"/>
      <x:c r="H49" s="122"/>
    </x:row>
    <x:row r="50">
      <x:c r="A50" s="13"/>
      <x:c r="B50" s="14"/>
      <x:c r="C50" s="14"/>
      <x:c r="D50" s="14"/>
      <x:c r="E50" s="14"/>
      <x:c r="F50" s="14"/>
      <x:c r="G50" s="121"/>
      <x:c r="H50" s="122"/>
    </x:row>
    <x:row r="51">
      <x:c r="A51" s="13"/>
      <x:c r="B51" s="14"/>
      <x:c r="C51" s="14"/>
      <x:c r="D51" s="14"/>
      <x:c r="E51" s="14"/>
      <x:c r="F51" s="14"/>
      <x:c r="G51" s="121"/>
      <x:c r="H51" s="122"/>
    </x:row>
    <x:row r="52">
      <x:c r="A52" s="13"/>
      <x:c r="B52" s="14"/>
      <x:c r="C52" s="14"/>
      <x:c r="D52" s="14"/>
      <x:c r="E52" s="14"/>
      <x:c r="F52" s="14"/>
      <x:c r="G52" s="121"/>
      <x:c r="H52" s="122"/>
    </x:row>
    <x:row r="53">
      <x:c r="A53" s="13"/>
      <x:c r="B53" s="14"/>
      <x:c r="C53" s="14"/>
      <x:c r="D53" s="14"/>
      <x:c r="E53" s="14"/>
      <x:c r="F53" s="14"/>
      <x:c r="G53" s="121"/>
      <x:c r="H53" s="122"/>
    </x:row>
    <x:row r="54">
      <x:c r="A54" s="13"/>
      <x:c r="B54" s="14"/>
      <x:c r="C54" s="14"/>
      <x:c r="D54" s="14"/>
      <x:c r="E54" s="14"/>
      <x:c r="F54" s="14"/>
      <x:c r="G54" s="121"/>
      <x:c r="H54" s="122"/>
    </x:row>
    <x:row r="55">
      <x:c r="A55" s="13"/>
      <x:c r="B55" s="14"/>
      <x:c r="C55" s="14"/>
      <x:c r="D55" s="14"/>
      <x:c r="E55" s="14"/>
      <x:c r="F55" s="14"/>
      <x:c r="G55" s="121"/>
      <x:c r="H55" s="122"/>
    </x:row>
    <x:row r="56">
      <x:c r="A56" s="13"/>
      <x:c r="B56" s="14"/>
      <x:c r="C56" s="14"/>
      <x:c r="D56" s="14"/>
      <x:c r="E56" s="14"/>
      <x:c r="F56" s="14"/>
      <x:c r="G56" s="121"/>
      <x:c r="H56" s="122"/>
    </x:row>
    <x:row r="57">
      <x:c r="A57" s="13"/>
      <x:c r="B57" s="14"/>
      <x:c r="C57" s="14"/>
      <x:c r="D57" s="14"/>
      <x:c r="E57" s="14"/>
      <x:c r="F57" s="14"/>
      <x:c r="G57" s="121"/>
      <x:c r="H57" s="122"/>
    </x:row>
    <x:row r="58">
      <x:c r="A58" s="13"/>
      <x:c r="B58" s="14"/>
      <x:c r="C58" s="14"/>
      <x:c r="D58" s="14"/>
      <x:c r="E58" s="14"/>
      <x:c r="F58" s="14"/>
      <x:c r="G58" s="121"/>
      <x:c r="H58" s="122"/>
    </x:row>
    <x:row r="59">
      <x:c r="A59" s="13"/>
      <x:c r="B59" s="14"/>
      <x:c r="C59" s="14"/>
      <x:c r="D59" s="14"/>
      <x:c r="E59" s="14"/>
      <x:c r="F59" s="14"/>
      <x:c r="G59" s="121"/>
      <x:c r="H59" s="122"/>
    </x:row>
    <x:row r="60">
      <x:c r="A60" s="16"/>
      <x:c r="B60" s="17"/>
      <x:c r="C60" s="17"/>
      <x:c r="D60" s="17"/>
      <x:c r="E60" s="17"/>
      <x:c r="F60" s="17"/>
      <x:c r="G60" s="127"/>
      <x:c r="H60" s="1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16" hidden="0" customWidth="1"/>
    <x:col min="5" max="5" width="12" hidden="0" customWidth="1"/>
    <x:col min="6" max="6" width="36" hidden="0" customWidth="1"/>
    <x:col min="7" max="7" width="36" hidden="0" customWidth="1"/>
    <x:col min="8" max="8" width="38" hidden="0" customWidth="1"/>
  </x:cols>
  <x:sheetData>
    <x:row r="1">
      <x:c r="A1" s="107" t="str">
        <x:v>08 Control</x:v>
      </x:c>
      <x:c r="B1" s="108" t="str"/>
      <x:c r="C1" s="108" t="str"/>
      <x:c r="D1" s="108" t="str"/>
      <x:c r="E1" s="108" t="str"/>
      <x:c r="F1" s="109" t="str"/>
      <x:c r="G1" s="109" t="str"/>
      <x:c r="H1" s="120"/>
    </x:row>
    <x:row r="2">
      <x:c r="A2" s="111" t="str">
        <x:v>Controles de coherencia del modelo financiero.</x:v>
      </x:c>
      <x:c r="B2" s="112" t="str"/>
      <x:c r="C2" s="112" t="str"/>
      <x:c r="D2" s="112" t="str"/>
      <x:c r="E2" s="112" t="str"/>
      <x:c r="F2" s="112" t="str"/>
      <x:c r="G2" s="112" t="str"/>
      <x:c r="H2" s="122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22"/>
    </x:row>
    <x:row r="4">
      <x:c r="A4" s="13"/>
      <x:c r="B4" s="14"/>
      <x:c r="C4" s="14"/>
      <x:c r="D4" s="14"/>
      <x:c r="E4" s="14"/>
      <x:c r="F4" s="14"/>
      <x:c r="G4" s="14"/>
      <x:c r="H4" s="122"/>
    </x:row>
    <x:row r="5">
      <x:c r="A5" s="114" t="str">
        <x:v>Comprobacion</x:v>
      </x:c>
      <x:c r="B5" s="115" t="str">
        <x:v>Actual</x:v>
      </x:c>
      <x:c r="C5" s="115" t="str">
        <x:v>Esperado</x:v>
      </x:c>
      <x:c r="D5" s="115" t="str">
        <x:v>Diferencia</x:v>
      </x:c>
      <x:c r="E5" s="115" t="str">
        <x:v>Estado</x:v>
      </x:c>
      <x:c r="F5" s="115" t="str">
        <x:v>Referencia</x:v>
      </x:c>
      <x:c r="G5" s="115" t="str">
        <x:v>Notas</x:v>
      </x:c>
      <x:c r="H5" s="122"/>
    </x:row>
    <x:row r="6">
      <x:c r="A6" s="13" t="str">
        <x:v>m2 total mantiene base</x:v>
      </x:c>
      <x:c r="B6" s="133" t="n">
        <x:f>SUM('01_Supuestos'!B8:E8)</x:f>
        <x:v>6511000</x:v>
      </x:c>
      <x:c r="C6" s="133" t="n">
        <x:f>'01_Supuestos'!B5</x:f>
        <x:v>6511000</x:v>
      </x:c>
      <x:c r="D6" s="133" t="n">
        <x:f>B6-C6</x:f>
        <x:v>0</x:v>
      </x:c>
      <x:c r="E6" s="137" t="str">
        <x:f>IF(ABS(D6)&lt;1,"OK","FALLO")</x:f>
        <x:v>OK</x:v>
      </x:c>
      <x:c r="F6" s="14" t="str">
        <x:v>01_Supuestos!B5:B8</x:v>
      </x:c>
      <x:c r="G6" s="14" t="str">
        <x:v>Total emitido debe igualar la curva base original ajustada.</x:v>
      </x:c>
      <x:c r="H6" s="122"/>
    </x:row>
    <x:row r="7">
      <x:c r="A7" s="13" t="str">
        <x:v>Ingresos total suma componentes</x:v>
      </x:c>
      <x:c r="B7" s="133" t="n">
        <x:f>'02_Detalle_Ingresos'!E42</x:f>
        <x:v>192.02824003333333</x:v>
      </x:c>
      <x:c r="C7" s="133" t="n">
        <x:f>SUM('02_Detalle_Ingresos'!E31,'02_Detalle_Ingresos'!E36:E40)</x:f>
        <x:v>192.02824003333333</x:v>
      </x:c>
      <x:c r="D7" s="133" t="n">
        <x:f>B7-C7</x:f>
        <x:v>0</x:v>
      </x:c>
      <x:c r="E7" s="137" t="str">
        <x:f>IF(ABS(D7)&lt;0.01,"OK","FALLO")</x:f>
        <x:v>OK</x:v>
      </x:c>
      <x:c r="F7" s="14" t="str">
        <x:v>02_Detalle_Ingresos</x:v>
      </x:c>
      <x:c r="G7" s="14" t="str">
        <x:v>Total ingresos = Asset OS + verticales.</x:v>
      </x:c>
      <x:c r="H7" s="122"/>
    </x:row>
    <x:row r="8">
      <x:c r="A8" s="13" t="str">
        <x:v>OPEX total suma categorias</x:v>
      </x:c>
      <x:c r="B8" s="133" t="n">
        <x:f>'05_Detalle_OPEX'!E14</x:f>
        <x:v>16.038000000000004</x:v>
      </x:c>
      <x:c r="C8" s="133" t="n">
        <x:f>SUM('05_Detalle_OPEX'!E6,'05_Detalle_OPEX'!E13)</x:f>
        <x:v>16.038000000000004</x:v>
      </x:c>
      <x:c r="D8" s="133" t="n">
        <x:f>B8-C8</x:f>
        <x:v>0</x:v>
      </x:c>
      <x:c r="E8" s="137" t="str">
        <x:f>IF(ABS(D8)&lt;0.01,"OK","FALLO")</x:f>
        <x:v>OK</x:v>
      </x:c>
      <x:c r="F8" s="14" t="str">
        <x:v>05_Detalle_OPEX</x:v>
      </x:c>
      <x:c r="G8" s="14" t="str">
        <x:v>Total OPEX = personal + OPEX no-personal.</x:v>
      </x:c>
      <x:c r="H8" s="122"/>
    </x:row>
    <x:row r="9">
      <x:c r="A9" s="13" t="str">
        <x:v>Personal suma perfiles</x:v>
      </x:c>
      <x:c r="B9" s="133" t="n">
        <x:f>'03_Detalle_Personal'!K38</x:f>
        <x:v>16.038000000000004</x:v>
      </x:c>
      <x:c r="C9" s="133" t="n">
        <x:f>SUM('03_Detalle_Personal'!K6:K37)</x:f>
        <x:v>16.038000000000004</x:v>
      </x:c>
      <x:c r="D9" s="133" t="n">
        <x:f>B9-C9</x:f>
        <x:v>0</x:v>
      </x:c>
      <x:c r="E9" s="137" t="str">
        <x:f>IF(ABS(D9)&lt;0.01,"OK","FALLO")</x:f>
        <x:v>OK</x:v>
      </x:c>
      <x:c r="F9" s="14" t="str">
        <x:v>03_Detalle_Personal</x:v>
      </x:c>
      <x:c r="G9" s="14" t="str">
        <x:v>Coste personal = suma perfil x FTE.</x:v>
      </x:c>
      <x:c r="H9" s="122"/>
    </x:row>
    <x:row r="10">
      <x:c r="A10" s="13" t="str">
        <x:v>EBITDA calcula margen menos OPEX</x:v>
      </x:c>
      <x:c r="B10" s="133" t="n">
        <x:f>'06_Cuenta_Resultados'!E22</x:f>
        <x:v>131.072736094</x:v>
      </x:c>
      <x:c r="C10" s="133" t="n">
        <x:f>'06_Cuenta_Resultados'!E17+'06_Cuenta_Resultados'!E21</x:f>
        <x:v>131.072736094</x:v>
      </x:c>
      <x:c r="D10" s="133" t="n">
        <x:f>B10-C10</x:f>
        <x:v>0</x:v>
      </x:c>
      <x:c r="E10" s="137" t="str">
        <x:f>IF(ABS(D10)&lt;0.01,"OK","FALLO")</x:f>
        <x:v>OK</x:v>
      </x:c>
      <x:c r="F10" s="14" t="str">
        <x:v>06_Cuenta_Resultados</x:v>
      </x:c>
      <x:c r="G10" s="14" t="str">
        <x:v>EBITDA = margen bruto + OPEX total negativo.</x:v>
      </x:c>
      <x:c r="H10" s="122"/>
    </x:row>
    <x:row r="11">
      <x:c r="A11" s="13" t="str">
        <x:v>Resultado neto calcula EBT menos impuestos</x:v>
      </x:c>
      <x:c r="B11" s="133" t="n">
        <x:f>'06_Cuenta_Resultados'!E29</x:f>
        <x:v>97.14205207049999</x:v>
      </x:c>
      <x:c r="C11" s="133" t="n">
        <x:f>'06_Cuenta_Resultados'!E27+'06_Cuenta_Resultados'!E28</x:f>
        <x:v>97.14205207049999</x:v>
      </x:c>
      <x:c r="D11" s="133" t="n">
        <x:f>B11-C11</x:f>
        <x:v>0</x:v>
      </x:c>
      <x:c r="E11" s="137" t="str">
        <x:f>IF(ABS(D11)&lt;0.01,"OK","FALLO")</x:f>
        <x:v>OK</x:v>
      </x:c>
      <x:c r="F11" s="14" t="str">
        <x:v>06_Cuenta_Resultados</x:v>
      </x:c>
      <x:c r="G11" s="14" t="str">
        <x:v>Resultado neto = resultado antes de impuestos + impuestos.</x:v>
      </x:c>
      <x:c r="H11" s="122"/>
    </x:row>
    <x:row r="12">
      <x:c r="A12" s="13" t="str">
        <x:v>Caja final roll-forward</x:v>
      </x:c>
      <x:c r="B12" s="133" t="n">
        <x:f>'07_Caja_CAPEX_WC'!E15</x:f>
        <x:v>92.904151985022</x:v>
      </x:c>
      <x:c r="C12" s="133" t="n">
        <x:f>SUM('07_Caja_CAPEX_WC'!B14:E14)</x:f>
        <x:v>92.904151985022</x:v>
      </x:c>
      <x:c r="D12" s="133" t="n">
        <x:f>B12-C12</x:f>
        <x:v>0</x:v>
      </x:c>
      <x:c r="E12" s="137" t="str">
        <x:f>IF(ABS(D12)&lt;0.01,"OK","FALLO")</x:f>
        <x:v>OK</x:v>
      </x:c>
      <x:c r="F12" s="14" t="str">
        <x:v>07_Caja_CAPEX_WC</x:v>
      </x:c>
      <x:c r="G12" s="14" t="str">
        <x:v>Caja final = caja previa + flujo neto.</x:v>
      </x:c>
      <x:c r="H12" s="122"/>
    </x:row>
    <x:row r="13">
      <x:c r="A13" s="13" t="str">
        <x:v>Sin ingresos negativos materiales</x:v>
      </x:c>
      <x:c r="B13" s="133" t="n">
        <x:f>MIN('02_Detalle_Ingresos'!B20:E42)</x:f>
        <x:v>0</x:v>
      </x:c>
      <x:c r="C13" s="133" t="n">
        <x:f>-0.01</x:f>
        <x:v>-0.01</x:v>
      </x:c>
      <x:c r="D13" s="133" t="n">
        <x:f>MIN(0,B13-C13)</x:f>
        <x:v>0</x:v>
      </x:c>
      <x:c r="E13" s="137" t="str">
        <x:f>IF(B13&gt;=C13,"OK","REVISAR")</x:f>
        <x:v>OK</x:v>
      </x:c>
      <x:c r="F13" s="14" t="str">
        <x:v>02_Detalle_Ingresos</x:v>
      </x:c>
      <x:c r="G13" s="14" t="str">
        <x:v>Control simplificado de signo.</x:v>
      </x:c>
      <x:c r="H13" s="122"/>
    </x:row>
    <x:row r="14">
      <x:c r="A14" s="13" t="str">
        <x:v>Inversion 4,2M conciliada</x:v>
      </x:c>
      <x:c r="B14" s="133" t="n">
        <x:f>'12_INV_Familias'!C21</x:f>
        <x:v>4216174.7</x:v>
      </x:c>
      <x:c r="C14" s="133" t="n">
        <x:f>'11_INV_Resumen_4_2M'!B6</x:f>
        <x:v>4216174.7</x:v>
      </x:c>
      <x:c r="D14" s="133" t="n">
        <x:f>B14-C14</x:f>
        <x:v>0</x:v>
      </x:c>
      <x:c r="E14" s="137" t="str">
        <x:f>IF(ABS(D14)&lt;1,"OK","FALLO")</x:f>
        <x:v>OK</x:v>
      </x:c>
      <x:c r="F14" s="14" t="str">
        <x:v>11_INV_Resumen_4_2M / 12_INV_Familias</x:v>
      </x:c>
      <x:c r="G14" s="14" t="str">
        <x:v>Total familias debe conciliar con valor actual defendido.</x:v>
      </x:c>
      <x:c r="H14" s="122"/>
    </x:row>
    <x:row r="15">
      <x:c r="A15" s="13" t="str">
        <x:v>Uso fondos 300K conciliado</x:v>
      </x:c>
      <x:c r="B15" s="133" t="n">
        <x:f>'14_300K_Uso_Fondos'!B13</x:f>
        <x:v>300000</x:v>
      </x:c>
      <x:c r="C15" s="133" t="n">
        <x:f>'13_300K_Resumen'!B6</x:f>
        <x:v>300000</x:v>
      </x:c>
      <x:c r="D15" s="133" t="n">
        <x:f>B15-C15</x:f>
        <x:v>0</x:v>
      </x:c>
      <x:c r="E15" s="137" t="str">
        <x:f>IF(ABS(D15)&lt;0.01,"OK","FALLO")</x:f>
        <x:v>OK</x:v>
      </x:c>
      <x:c r="F15" s="14" t="str">
        <x:v>13_300K_Resumen / 14_300K_Uso_Fondos</x:v>
      </x:c>
      <x:c r="G15" s="14" t="str">
        <x:v>Uso de fondos debe sumar 300.000 EUR.</x:v>
      </x:c>
      <x:c r="H15" s="122"/>
    </x:row>
    <x:row r="16">
      <x:c r="A16" s="130" t="str">
        <x:v>ESTADO MODELO</x:v>
      </x:c>
      <x:c r="B16" s="29" t="n">
        <x:f>COUNTIF(E6:E15,"FALLO")+COUNTIF(E6:E15,"REVISAR")</x:f>
        <x:v>0</x:v>
      </x:c>
      <x:c r="C16" s="29" t="n">
        <x:f>0</x:f>
        <x:v>0</x:v>
      </x:c>
      <x:c r="D16" s="29" t="n">
        <x:f>B16-C16</x:f>
        <x:v>0</x:v>
      </x:c>
      <x:c r="E16" s="29" t="str">
        <x:f>IF(B16=0,"OK","REVISAR")</x:f>
        <x:v>OK</x:v>
      </x:c>
      <x:c r="F16" s="29" t="str">
        <x:v>Todas las comprobaciones</x:v>
      </x:c>
      <x:c r="G16" s="29" t="str">
        <x:v>OK si no hay fallos ni revisiones.</x:v>
      </x:c>
      <x:c r="H16" s="122"/>
    </x:row>
    <x:row r="17">
      <x:c r="A17" s="13"/>
      <x:c r="B17" s="14"/>
      <x:c r="C17" s="14"/>
      <x:c r="D17" s="14"/>
      <x:c r="E17" s="14"/>
      <x:c r="F17" s="14"/>
      <x:c r="G17" s="14"/>
      <x:c r="H17" s="122"/>
    </x:row>
    <x:row r="18">
      <x:c r="A18" s="13"/>
      <x:c r="B18" s="14"/>
      <x:c r="C18" s="14"/>
      <x:c r="D18" s="14"/>
      <x:c r="E18" s="14"/>
      <x:c r="F18" s="14"/>
      <x:c r="G18" s="14"/>
      <x:c r="H18" s="122"/>
    </x:row>
    <x:row r="19">
      <x:c r="A19" s="13"/>
      <x:c r="B19" s="14"/>
      <x:c r="C19" s="14"/>
      <x:c r="D19" s="14"/>
      <x:c r="E19" s="14"/>
      <x:c r="F19" s="14"/>
      <x:c r="G19" s="14"/>
      <x:c r="H19" s="122"/>
    </x:row>
    <x:row r="20">
      <x:c r="A20" s="13"/>
      <x:c r="B20" s="14"/>
      <x:c r="C20" s="14"/>
      <x:c r="D20" s="14"/>
      <x:c r="E20" s="14"/>
      <x:c r="F20" s="14"/>
      <x:c r="G20" s="14"/>
      <x:c r="H20" s="122"/>
    </x:row>
    <x:row r="21">
      <x:c r="A21" s="13"/>
      <x:c r="B21" s="14"/>
      <x:c r="C21" s="14"/>
      <x:c r="D21" s="14"/>
      <x:c r="E21" s="14"/>
      <x:c r="F21" s="14"/>
      <x:c r="G21" s="14"/>
      <x:c r="H21" s="122"/>
    </x:row>
    <x:row r="22">
      <x:c r="A22" s="13"/>
      <x:c r="B22" s="14"/>
      <x:c r="C22" s="14"/>
      <x:c r="D22" s="14"/>
      <x:c r="E22" s="14"/>
      <x:c r="F22" s="14"/>
      <x:c r="G22" s="14"/>
      <x:c r="H22" s="122"/>
    </x:row>
    <x:row r="23">
      <x:c r="A23" s="13"/>
      <x:c r="B23" s="14"/>
      <x:c r="C23" s="14"/>
      <x:c r="D23" s="14"/>
      <x:c r="E23" s="14"/>
      <x:c r="F23" s="14"/>
      <x:c r="G23" s="14"/>
      <x:c r="H23" s="122"/>
    </x:row>
    <x:row r="24">
      <x:c r="A24" s="13"/>
      <x:c r="B24" s="14"/>
      <x:c r="C24" s="14"/>
      <x:c r="D24" s="14"/>
      <x:c r="E24" s="14"/>
      <x:c r="F24" s="14"/>
      <x:c r="G24" s="14"/>
      <x:c r="H24" s="122"/>
    </x:row>
    <x:row r="25">
      <x:c r="A25" s="13"/>
      <x:c r="B25" s="14"/>
      <x:c r="C25" s="14"/>
      <x:c r="D25" s="14"/>
      <x:c r="E25" s="14"/>
      <x:c r="F25" s="14"/>
      <x:c r="G25" s="14"/>
      <x:c r="H25" s="122"/>
    </x:row>
    <x:row r="26">
      <x:c r="A26" s="13"/>
      <x:c r="B26" s="14"/>
      <x:c r="C26" s="14"/>
      <x:c r="D26" s="14"/>
      <x:c r="E26" s="14"/>
      <x:c r="F26" s="14"/>
      <x:c r="G26" s="14"/>
      <x:c r="H26" s="122"/>
    </x:row>
    <x:row r="27">
      <x:c r="A27" s="13"/>
      <x:c r="B27" s="14"/>
      <x:c r="C27" s="14"/>
      <x:c r="D27" s="14"/>
      <x:c r="E27" s="14"/>
      <x:c r="F27" s="14"/>
      <x:c r="G27" s="14"/>
      <x:c r="H27" s="122"/>
    </x:row>
    <x:row r="28">
      <x:c r="A28" s="13"/>
      <x:c r="B28" s="14"/>
      <x:c r="C28" s="14"/>
      <x:c r="D28" s="14"/>
      <x:c r="E28" s="14"/>
      <x:c r="F28" s="14"/>
      <x:c r="G28" s="14"/>
      <x:c r="H28" s="122"/>
    </x:row>
    <x:row r="29">
      <x:c r="A29" s="13"/>
      <x:c r="B29" s="14"/>
      <x:c r="C29" s="14"/>
      <x:c r="D29" s="14"/>
      <x:c r="E29" s="14"/>
      <x:c r="F29" s="14"/>
      <x:c r="G29" s="14"/>
      <x:c r="H29" s="122"/>
    </x:row>
    <x:row r="30">
      <x:c r="A30" s="13"/>
      <x:c r="B30" s="14"/>
      <x:c r="C30" s="14"/>
      <x:c r="D30" s="14"/>
      <x:c r="E30" s="14"/>
      <x:c r="F30" s="14"/>
      <x:c r="G30" s="14"/>
      <x:c r="H30" s="122"/>
    </x:row>
    <x:row r="31">
      <x:c r="A31" s="13"/>
      <x:c r="B31" s="14"/>
      <x:c r="C31" s="14"/>
      <x:c r="D31" s="14"/>
      <x:c r="E31" s="14"/>
      <x:c r="F31" s="14"/>
      <x:c r="G31" s="14"/>
      <x:c r="H31" s="122"/>
    </x:row>
    <x:row r="32">
      <x:c r="A32" s="13"/>
      <x:c r="B32" s="14"/>
      <x:c r="C32" s="14"/>
      <x:c r="D32" s="14"/>
      <x:c r="E32" s="14"/>
      <x:c r="F32" s="14"/>
      <x:c r="G32" s="14"/>
      <x:c r="H32" s="122"/>
    </x:row>
    <x:row r="33">
      <x:c r="A33" s="13"/>
      <x:c r="B33" s="14"/>
      <x:c r="C33" s="14"/>
      <x:c r="D33" s="14"/>
      <x:c r="E33" s="14"/>
      <x:c r="F33" s="14"/>
      <x:c r="G33" s="14"/>
      <x:c r="H33" s="122"/>
    </x:row>
    <x:row r="34">
      <x:c r="A34" s="13"/>
      <x:c r="B34" s="14"/>
      <x:c r="C34" s="14"/>
      <x:c r="D34" s="14"/>
      <x:c r="E34" s="14"/>
      <x:c r="F34" s="14"/>
      <x:c r="G34" s="14"/>
      <x:c r="H34" s="122"/>
    </x:row>
    <x:row r="35">
      <x:c r="A35" s="13"/>
      <x:c r="B35" s="14"/>
      <x:c r="C35" s="14"/>
      <x:c r="D35" s="14"/>
      <x:c r="E35" s="14"/>
      <x:c r="F35" s="14"/>
      <x:c r="G35" s="14"/>
      <x:c r="H35" s="122"/>
    </x:row>
    <x:row r="36">
      <x:c r="A36" s="13"/>
      <x:c r="B36" s="14"/>
      <x:c r="C36" s="14"/>
      <x:c r="D36" s="14"/>
      <x:c r="E36" s="14"/>
      <x:c r="F36" s="14"/>
      <x:c r="G36" s="14"/>
      <x:c r="H36" s="122"/>
    </x:row>
    <x:row r="37">
      <x:c r="A37" s="13"/>
      <x:c r="B37" s="14"/>
      <x:c r="C37" s="14"/>
      <x:c r="D37" s="14"/>
      <x:c r="E37" s="14"/>
      <x:c r="F37" s="14"/>
      <x:c r="G37" s="14"/>
      <x:c r="H37" s="122"/>
    </x:row>
    <x:row r="38">
      <x:c r="A38" s="13"/>
      <x:c r="B38" s="14"/>
      <x:c r="C38" s="14"/>
      <x:c r="D38" s="14"/>
      <x:c r="E38" s="14"/>
      <x:c r="F38" s="14"/>
      <x:c r="G38" s="14"/>
      <x:c r="H38" s="122"/>
    </x:row>
    <x:row r="39">
      <x:c r="A39" s="13"/>
      <x:c r="B39" s="14"/>
      <x:c r="C39" s="14"/>
      <x:c r="D39" s="14"/>
      <x:c r="E39" s="14"/>
      <x:c r="F39" s="14"/>
      <x:c r="G39" s="14"/>
      <x:c r="H39" s="122"/>
    </x:row>
    <x:row r="40">
      <x:c r="A40" s="13"/>
      <x:c r="B40" s="14"/>
      <x:c r="C40" s="14"/>
      <x:c r="D40" s="14"/>
      <x:c r="E40" s="14"/>
      <x:c r="F40" s="14"/>
      <x:c r="G40" s="14"/>
      <x:c r="H40" s="122"/>
    </x:row>
    <x:row r="41">
      <x:c r="A41" s="13"/>
      <x:c r="B41" s="14"/>
      <x:c r="C41" s="14"/>
      <x:c r="D41" s="14"/>
      <x:c r="E41" s="14"/>
      <x:c r="F41" s="14"/>
      <x:c r="G41" s="14"/>
      <x:c r="H41" s="122"/>
    </x:row>
    <x:row r="42">
      <x:c r="A42" s="13"/>
      <x:c r="B42" s="14"/>
      <x:c r="C42" s="14"/>
      <x:c r="D42" s="14"/>
      <x:c r="E42" s="14"/>
      <x:c r="F42" s="14"/>
      <x:c r="G42" s="14"/>
      <x:c r="H42" s="122"/>
    </x:row>
    <x:row r="43">
      <x:c r="A43" s="13"/>
      <x:c r="B43" s="14"/>
      <x:c r="C43" s="14"/>
      <x:c r="D43" s="14"/>
      <x:c r="E43" s="14"/>
      <x:c r="F43" s="14"/>
      <x:c r="G43" s="14"/>
      <x:c r="H43" s="122"/>
    </x:row>
    <x:row r="44">
      <x:c r="A44" s="13"/>
      <x:c r="B44" s="14"/>
      <x:c r="C44" s="14"/>
      <x:c r="D44" s="14"/>
      <x:c r="E44" s="14"/>
      <x:c r="F44" s="14"/>
      <x:c r="G44" s="14"/>
      <x:c r="H44" s="122"/>
    </x:row>
    <x:row r="45">
      <x:c r="A45" s="13"/>
      <x:c r="B45" s="14"/>
      <x:c r="C45" s="14"/>
      <x:c r="D45" s="14"/>
      <x:c r="E45" s="14"/>
      <x:c r="F45" s="14"/>
      <x:c r="G45" s="14"/>
      <x:c r="H45" s="122"/>
    </x:row>
    <x:row r="46">
      <x:c r="A46" s="13"/>
      <x:c r="B46" s="14"/>
      <x:c r="C46" s="14"/>
      <x:c r="D46" s="14"/>
      <x:c r="E46" s="14"/>
      <x:c r="F46" s="14"/>
      <x:c r="G46" s="14"/>
      <x:c r="H46" s="122"/>
    </x:row>
    <x:row r="47">
      <x:c r="A47" s="13"/>
      <x:c r="B47" s="14"/>
      <x:c r="C47" s="14"/>
      <x:c r="D47" s="14"/>
      <x:c r="E47" s="14"/>
      <x:c r="F47" s="14"/>
      <x:c r="G47" s="14"/>
      <x:c r="H47" s="122"/>
    </x:row>
    <x:row r="48">
      <x:c r="A48" s="13"/>
      <x:c r="B48" s="14"/>
      <x:c r="C48" s="14"/>
      <x:c r="D48" s="14"/>
      <x:c r="E48" s="14"/>
      <x:c r="F48" s="14"/>
      <x:c r="G48" s="14"/>
      <x:c r="H48" s="122"/>
    </x:row>
    <x:row r="49">
      <x:c r="A49" s="13"/>
      <x:c r="B49" s="14"/>
      <x:c r="C49" s="14"/>
      <x:c r="D49" s="14"/>
      <x:c r="E49" s="14"/>
      <x:c r="F49" s="14"/>
      <x:c r="G49" s="14"/>
      <x:c r="H49" s="122"/>
    </x:row>
    <x:row r="50">
      <x:c r="A50" s="16"/>
      <x:c r="B50" s="17"/>
      <x:c r="C50" s="17"/>
      <x:c r="D50" s="17"/>
      <x:c r="E50" s="17"/>
      <x:c r="F50" s="17"/>
      <x:c r="G50" s="17"/>
      <x:c r="H50" s="1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107" t="str">
        <x:v>09 Documentacion soporte</x:v>
      </x:c>
      <x:c r="B1" s="109" t="str"/>
      <x:c r="C1" s="109" t="str"/>
      <x:c r="D1" s="109" t="str"/>
      <x:c r="E1" s="109" t="str"/>
      <x:c r="F1" s="109" t="str"/>
      <x:c r="G1" s="109" t="str"/>
      <x:c r="H1" s="110" t="str"/>
    </x:row>
    <x:row r="2">
      <x:c r="A2" s="111" t="str">
        <x:v>Fuentes y convenciones de lectura del modelo.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Item</x:v>
      </x:c>
      <x:c r="B5" s="115" t="str">
        <x:v>Valor</x:v>
      </x:c>
      <x:c r="C5" s="115" t="str">
        <x:v>Unidades</x:v>
      </x:c>
      <x:c r="D5" s="115" t="str">
        <x:v>Periodo/as-of</x:v>
      </x:c>
      <x:c r="E5" s="115" t="str">
        <x:v>Tipo de fuente</x:v>
      </x:c>
      <x:c r="F5" s="115" t="str">
        <x:v>Nombre/ref</x:v>
      </x:c>
      <x:c r="G5" s="115" t="str">
        <x:v>Responsable</x:v>
      </x:c>
      <x:c r="H5" s="129" t="str">
        <x:v>Notas</x:v>
      </x:c>
    </x:row>
    <x:row r="6">
      <x:c r="A6" s="13" t="str">
        <x:v>Documento principal</x:v>
      </x:c>
      <x:c r="B6" s="14" t="str">
        <x:v>Business Plan total definitivo</x:v>
      </x:c>
      <x:c r="C6" s="14" t="str">
        <x:v>docx</x:v>
      </x:c>
      <x:c r="D6" s="14" t="str">
        <x:v>Actual</x:v>
      </x:c>
      <x:c r="E6" s="14" t="str">
        <x:v>Documento CUEVA</x:v>
      </x:c>
      <x:c r="F6" s="14" t="str">
        <x:v>CUEVA_BP_TOTAL_DEFINITIVO_INVERSORES.docx</x:v>
      </x:c>
      <x:c r="G6" s="14" t="str">
        <x:v>CUEVA</x:v>
      </x:c>
      <x:c r="H6" s="15" t="str">
        <x:v>Exposicion completa de proyecto, producto, lineas, valoracion, plan 300K y plan 2030.</x:v>
      </x:c>
    </x:row>
    <x:row r="7">
      <x:c r="A7" s="13" t="str">
        <x:v>Plan 300K</x:v>
      </x:c>
      <x:c r="B7" s="14" t="str">
        <x:v>Business Plan independiente 2026/2027</x:v>
      </x:c>
      <x:c r="C7" s="14" t="str">
        <x:v>docx</x:v>
      </x:c>
      <x:c r="D7" s="14" t="str">
        <x:v>2026/27</x:v>
      </x:c>
      <x:c r="E7" s="14" t="str">
        <x:v>Documento CUEVA</x:v>
      </x:c>
      <x:c r="F7" s="14" t="str">
        <x:v>CUEVA_BP_300K_2026_2027_INDEPENDIENTE.docx</x:v>
      </x:c>
      <x:c r="G7" s="14" t="str">
        <x:v>CUEVA</x:v>
      </x:c>
      <x:c r="H7" s="15" t="str">
        <x:v>Plan inmediato separado del plan total para evitar mezclar uso de fondos con scale case.</x:v>
      </x:c>
    </x:row>
    <x:row r="8">
      <x:c r="A8" s="13" t="str">
        <x:v>Valoracion 4,2M</x:v>
      </x:c>
      <x:c r="B8" s="14" t="str">
        <x:v>4.216.174,70 EUR</x:v>
      </x:c>
      <x:c r="C8" s="14" t="str">
        <x:v>EUR</x:v>
      </x:c>
      <x:c r="D8" s="14" t="str">
        <x:v>2012/13-actualidad</x:v>
      </x:c>
      <x:c r="E8" s="14" t="str">
        <x:v>Informe de inversion acumulada</x:v>
      </x:c>
      <x:c r="F8" s="14" t="str">
        <x:v>CUEVA_VALORACION_4_2M_INVERSION_PRODUCTO.docx</x:v>
      </x:c>
      <x:c r="G8" s="14" t="str">
        <x:v>CUEVA</x:v>
      </x:c>
      <x:c r="H8" s="15" t="str">
        <x:v>Valor defendido por inversion acumulada, profundidad tecnica y producto construido.</x:v>
      </x:c>
    </x:row>
    <x:row r="9">
      <x:c r="A9" s="13" t="str">
        <x:v>Modelo financiero</x:v>
      </x:c>
      <x:c r="B9" s="14" t="str">
        <x:v>Modelo definitivo</x:v>
      </x:c>
      <x:c r="C9" s="14" t="str">
        <x:v>xlsx</x:v>
      </x:c>
      <x:c r="D9" s="14" t="str">
        <x:v>2026/27-2030</x:v>
      </x:c>
      <x:c r="E9" s="14" t="str">
        <x:v>Modelo CUEVA</x:v>
      </x:c>
      <x:c r="F9" s="14" t="str">
        <x:v>CUEVA_MODELO_FINANCIERO_DEFINITIVO.xlsx</x:v>
      </x:c>
      <x:c r="G9" s="14" t="str">
        <x:v>CUEVA</x:v>
      </x:c>
      <x:c r="H9" s="15" t="str">
        <x:v>Plan 2030, inversion acumulada 4,2M y plan 300K en bloques separados.</x:v>
      </x:c>
    </x:row>
    <x:row r="10">
      <x:c r="A10" s="13" t="str">
        <x:v>Convencion</x:v>
      </x:c>
      <x:c r="B10" s="14" t="str">
        <x:v>EUR M salvo indicacion</x:v>
      </x:c>
      <x:c r="C10" s="14" t="str">
        <x:v>convencion</x:v>
      </x:c>
      <x:c r="D10" s="14" t="str">
        <x:v>todos</x:v>
      </x:c>
      <x:c r="E10" s="14" t="str">
        <x:v>Convencion de modelo</x:v>
      </x:c>
      <x:c r="F10" s="14" t="str">
        <x:v>00_Portada</x:v>
      </x:c>
      <x:c r="G10" s="14" t="str">
        <x:v>CUEVA</x:v>
      </x:c>
      <x:c r="H10" s="15" t="str">
        <x:v>Ingresos, OPEX, cuenta de resultados y caja expresados en millones de euros.</x:v>
      </x:c>
    </x:row>
    <x:row r="11">
      <x:c r="A11" s="13" t="str">
        <x:v>Ingresos</x:v>
      </x:c>
      <x:c r="B11" s="14" t="str">
        <x:v>Conceptos y drivers detallados</x:v>
      </x:c>
      <x:c r="C11" s="14" t="str">
        <x:v>EUR M</x:v>
      </x:c>
      <x:c r="D11" s="14" t="str">
        <x:v>2026/27-2030</x:v>
      </x:c>
      <x:c r="E11" s="14" t="str">
        <x:v>Modelo financiero</x:v>
      </x:c>
      <x:c r="F11" s="14" t="str">
        <x:v>02_Detalle_Ingresos</x:v>
      </x:c>
      <x:c r="G11" s="14" t="str">
        <x:v>CUEVA</x:v>
      </x:c>
      <x:c r="H11" s="15" t="str">
        <x:v>Digitalizacion, usage fees, producto, verticales, marketplace y capa financiera.</x:v>
      </x:c>
    </x:row>
    <x:row r="12">
      <x:c r="A12" s="13" t="str">
        <x:v>Personal</x:v>
      </x:c>
      <x:c r="B12" s="14" t="str">
        <x:v>Perfil x sueldo x FTE</x:v>
      </x:c>
      <x:c r="C12" s="14" t="str">
        <x:v>EUR M</x:v>
      </x:c>
      <x:c r="D12" s="14" t="str">
        <x:v>2026/27-2030</x:v>
      </x:c>
      <x:c r="E12" s="14" t="str">
        <x:v>Modelo financiero</x:v>
      </x:c>
      <x:c r="F12" s="14" t="str">
        <x:v>03_Detalle_Personal</x:v>
      </x:c>
      <x:c r="G12" s="14" t="str">
        <x:v>CUEVA</x:v>
      </x:c>
      <x:c r="H12" s="15" t="str">
        <x:v>Plan editable de plantilla por departamento y perfil.</x:v>
      </x:c>
    </x:row>
    <x:row r="13">
      <x:c r="A13" s="13" t="str">
        <x:v>OPEX</x:v>
      </x:c>
      <x:c r="B13" s="14" t="str">
        <x:v>Detalle operativo y corporativo</x:v>
      </x:c>
      <x:c r="C13" s="14" t="str">
        <x:v>EUR M</x:v>
      </x:c>
      <x:c r="D13" s="14" t="str">
        <x:v>2026/27-2030</x:v>
      </x:c>
      <x:c r="E13" s="14" t="str">
        <x:v>Modelo financiero</x:v>
      </x:c>
      <x:c r="F13" s="14" t="str">
        <x:v>04_OPEX_Operativo / 05_Detalle_OPEX</x:v>
      </x:c>
      <x:c r="G13" s="14" t="str">
        <x:v>CUEVA</x:v>
      </x:c>
      <x:c r="H13" s="15" t="str">
        <x:v>Desglose de costes no-personal, contingencia y estructura operativa.</x:v>
      </x:c>
    </x:row>
    <x:row r="14">
      <x:c r="A14" s="13" t="str">
        <x:v>Control</x:v>
      </x:c>
      <x:c r="B14" s="14" t="str">
        <x:v>OK/REVISAR/FALLO</x:v>
      </x:c>
      <x:c r="C14" s="14" t="str">
        <x:v>estado</x:v>
      </x:c>
      <x:c r="D14" s="14" t="str">
        <x:v>2026/27-2030</x:v>
      </x:c>
      <x:c r="E14" s="14" t="str">
        <x:v>Control de coherencia</x:v>
      </x:c>
      <x:c r="F14" s="14" t="str">
        <x:v>08_Control</x:v>
      </x:c>
      <x:c r="G14" s="14" t="str">
        <x:v>CUEVA</x:v>
      </x:c>
      <x:c r="H14" s="15" t="str">
        <x:v>Controles de m2, ingresos, OPEX, personal, EBITDA, resultado neto, caja e inversion.</x:v>
      </x:c>
    </x:row>
    <x:row r="15">
      <x:c r="A15" s="13" t="str">
        <x:v>Paquetes de producto</x:v>
      </x:c>
      <x:c r="B15" s="14" t="str">
        <x:v>P0-P5 + verticales</x:v>
      </x:c>
      <x:c r="C15" s="14" t="str">
        <x:v>producto</x:v>
      </x:c>
      <x:c r="D15" s="14" t="str">
        <x:v>todos</x:v>
      </x:c>
      <x:c r="E15" s="14" t="str">
        <x:v>Modelo financiero</x:v>
      </x:c>
      <x:c r="F15" s="14" t="str">
        <x:v>10_Paquetes_Producto</x:v>
      </x:c>
      <x:c r="G15" s="14" t="str">
        <x:v>CUEVA</x:v>
      </x:c>
      <x:c r="H15" s="15" t="str">
        <x:v>Conexion entre producto, entregables, drivers economicos y gates.</x:v>
      </x:c>
    </x:row>
    <x:row r="16">
      <x:c r="A16" s="13" t="str">
        <x:v>Inversion acumulada</x:v>
      </x:c>
      <x:c r="B16" s="14" t="str">
        <x:v>4.216.174,70 EUR</x:v>
      </x:c>
      <x:c r="C16" s="14" t="str">
        <x:v>EUR</x:v>
      </x:c>
      <x:c r="D16" s="14" t="str">
        <x:v>hasta actualidad</x:v>
      </x:c>
      <x:c r="E16" s="14" t="str">
        <x:v>Informe inversion/producto</x:v>
      </x:c>
      <x:c r="F16" s="14" t="str">
        <x:v>11_INV_Resumen_4_2M / 12_INV_Familias</x:v>
      </x:c>
      <x:c r="G16" s="14" t="str">
        <x:v>CUEVA</x:v>
      </x:c>
      <x:c r="H16" s="15" t="str">
        <x:v>Bloque separado del forecast para no mezclar valor construido con cuenta de resultados futura.</x:v>
      </x:c>
    </x:row>
    <x:row r="17">
      <x:c r="A17" s="13" t="str">
        <x:v>Plan 300K</x:v>
      </x:c>
      <x:c r="B17" s="14" t="str">
        <x:v>300.000 EUR</x:v>
      </x:c>
      <x:c r="C17" s="14" t="str">
        <x:v>EUR</x:v>
      </x:c>
      <x:c r="D17" s="14" t="str">
        <x:v>2026/27</x:v>
      </x:c>
      <x:c r="E17" s="14" t="str">
        <x:v>Plan inmediato</x:v>
      </x:c>
      <x:c r="F17" s="14" t="str">
        <x:v>13_300K_Resumen / 14_300K_Uso_Fondos / 15_300K_Pipeline_2027</x:v>
      </x:c>
      <x:c r="G17" s="14" t="str">
        <x:v>CUEVA</x:v>
      </x:c>
      <x:c r="H17" s="15" t="str">
        <x:v>Bloque separado del scale case; compra reduccion de riesgo y prueba comercial.</x:v>
      </x:c>
    </x:row>
    <x:row r="18">
      <x:c r="A18" s="13" t="str">
        <x:v>Puente 300K escala</x:v>
      </x:c>
      <x:c r="B18" s="14" t="str">
        <x:v>Plan minimo vs scale case</x:v>
      </x:c>
      <x:c r="C18" s="14" t="str">
        <x:v>lectura</x:v>
      </x:c>
      <x:c r="D18" s="14" t="str">
        <x:v>2027</x:v>
      </x:c>
      <x:c r="E18" s="14" t="str">
        <x:v>Modelo financiero</x:v>
      </x:c>
      <x:c r="F18" s="14" t="str">
        <x:v>16_300K_Puente_Escala</x:v>
      </x:c>
      <x:c r="G18" s="14" t="str">
        <x:v>CUEVA</x:v>
      </x:c>
      <x:c r="H18" s="15" t="str">
        <x:v>Separa plan obligatorio de crecimiento financiado.</x:v>
      </x:c>
    </x:row>
    <x:row r="19">
      <x:c r="A19" s="13"/>
      <x:c r="B19" s="14"/>
      <x:c r="C19" s="14"/>
      <x:c r="D19" s="14"/>
      <x:c r="E19" s="14"/>
      <x:c r="F19" s="14"/>
      <x:c r="G19" s="14"/>
      <x:c r="H19" s="15"/>
    </x:row>
    <x:row r="20">
      <x:c r="A20" s="13"/>
      <x:c r="B20" s="14"/>
      <x:c r="C20" s="14"/>
      <x:c r="D20" s="14"/>
      <x:c r="E20" s="14"/>
      <x:c r="F20" s="14"/>
      <x:c r="G20" s="14"/>
      <x:c r="H20" s="15"/>
    </x:row>
    <x:row r="21">
      <x:c r="A21" s="13"/>
      <x:c r="B21" s="14"/>
      <x:c r="C21" s="14"/>
      <x:c r="D21" s="14"/>
      <x:c r="E21" s="14"/>
      <x:c r="F21" s="14"/>
      <x:c r="G21" s="14"/>
      <x:c r="H21" s="15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6"/>
      <x:c r="B70" s="17"/>
      <x:c r="C70" s="17"/>
      <x:c r="D70" s="17"/>
      <x:c r="E70" s="17"/>
      <x:c r="F70" s="17"/>
      <x:c r="G70" s="17"/>
      <x:c r="H70" s="1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>
      <x:c r="A1" s="107" t="str">
        <x:v>10 Paquetes de producto</x:v>
      </x:c>
      <x:c r="B1" s="108" t="str"/>
      <x:c r="C1" s="109" t="str"/>
      <x:c r="D1" s="109" t="str"/>
      <x:c r="E1" s="109" t="str"/>
      <x:c r="F1" s="109" t="str"/>
      <x:c r="G1" s="109" t="str"/>
      <x:c r="H1" s="110" t="str"/>
    </x:row>
    <x:row r="2">
      <x:c r="A2" s="111" t="str">
        <x:v>Conexion entre producto, entregables, drivers economicos y plan 2030. Se conservan los nombres propios de paquetes/producto.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Paquete / producto</x:v>
      </x:c>
      <x:c r="B5" s="115" t="str">
        <x:v>TRL actual</x:v>
      </x:c>
      <x:c r="C5" s="115" t="str">
        <x:v>Rol economico</x:v>
      </x:c>
      <x:c r="D5" s="115" t="str">
        <x:v>Driver principal</x:v>
      </x:c>
      <x:c r="E5" s="115" t="str">
        <x:v>Tareas clave</x:v>
      </x:c>
      <x:c r="F5" s="115" t="str">
        <x:v>Entregable / gate</x:v>
      </x:c>
      <x:c r="G5" s="115" t="str">
        <x:v>Hoja economica</x:v>
      </x:c>
      <x:c r="H5" s="129" t="str">
        <x:v>Notas</x:v>
      </x:c>
    </x:row>
    <x:row r="6">
      <x:c r="A6" s="13" t="str">
        <x:v>P0 Discovery &amp; Blueprint</x:v>
      </x:c>
      <x:c r="B6" s="14" t="str">
        <x:v>8/9</x:v>
      </x:c>
      <x:c r="C6" s="14" t="str">
        <x:v>Entrada consultiva y configuracion de caso</x:v>
      </x:c>
      <x:c r="D6" s="14" t="str">
        <x:v>Partners / proyecto</x:v>
      </x:c>
      <x:c r="E6" s="14" t="str">
        <x:v>Diagnostico, parametrizacion, alcance tecnico, plan de datos, mapa de evidencias</x:v>
      </x:c>
      <x:c r="F6" s="14" t="str">
        <x:v>Blueprint validado y caso listo para red</x:v>
      </x:c>
      <x:c r="G6" s="14" t="str">
        <x:v>02_Detalle_Ingresos</x:v>
      </x:c>
      <x:c r="H6" s="15" t="str">
        <x:v>Reduce riesgo de implantacion y acelera activacion.</x:v>
      </x:c>
    </x:row>
    <x:row r="7">
      <x:c r="A7" s="13" t="str">
        <x:v>P1 Factory Core</x:v>
      </x:c>
      <x:c r="B7" s="14" t="str">
        <x:v>8/9</x:v>
      </x:c>
      <x:c r="C7" s="14" t="str">
        <x:v>Digitalizacion fabricante y fee de red</x:v>
      </x:c>
      <x:c r="D7" s="14" t="str">
        <x:v>m2 fabricados verificados</x:v>
      </x:c>
      <x:c r="E7" s="14" t="str">
        <x:v>Alta fabricante, geometria base, reglas de produccion, trazabilidad de fabrica, conexion con stock</x:v>
      </x:c>
      <x:c r="F7" s="14" t="str">
        <x:v>Fabricante operativo en red</x:v>
      </x:c>
      <x:c r="G7" s="14" t="str">
        <x:v>02_Detalle_Ingresos</x:v>
      </x:c>
      <x:c r="H7" s="15" t="str">
        <x:v>Base del ingreso por fabricante y del trigger de m2.</x:v>
      </x:c>
    </x:row>
    <x:row r="8">
      <x:c r="A8" s="13" t="str">
        <x:v>P2 Warehouse &amp; Logistics</x:v>
      </x:c>
      <x:c r="B8" s="14" t="str">
        <x:v>8/9</x:v>
      </x:c>
      <x:c r="C8" s="14" t="str">
        <x:v>Trazabilidad de stock, preparacion y movimientos</x:v>
      </x:c>
      <x:c r="D8" s="14" t="str">
        <x:v>Stock vivo / partners</x:v>
      </x:c>
      <x:c r="E8" s="14" t="str">
        <x:v>Lecturas, lotes, ubicaciones, expediciones, integracion con evidencias y reporting</x:v>
      </x:c>
      <x:c r="F8" s="14" t="str">
        <x:v>Stock trazable y auditable</x:v>
      </x:c>
      <x:c r="G8" s="14" t="str">
        <x:v>02_Detalle_Ingresos</x:v>
      </x:c>
      <x:c r="H8" s="15" t="str">
        <x:v>Conecta fabricacion, logistica y datos operativos.</x:v>
      </x:c>
    </x:row>
    <x:row r="9">
      <x:c r="A9" s="13" t="str">
        <x:v>P3 Site Proof / POI</x:v>
      </x:c>
      <x:c r="B9" s="14" t="str">
        <x:v>8/9</x:v>
      </x:c>
      <x:c r="C9" s="14" t="str">
        <x:v>Evidence pack de instalacion</x:v>
      </x:c>
      <x:c r="D9" s="14" t="str">
        <x:v>m2 instalados/verificados</x:v>
      </x:c>
      <x:c r="E9" s="14" t="str">
        <x:v>Lectura en obra, validacion de montaje, incidencias, cierre POI, fotografia/evidencia</x:v>
      </x:c>
      <x:c r="F9" s="14" t="str">
        <x:v>POI cerrado por activo</x:v>
      </x:c>
      <x:c r="G9" s="14" t="str">
        <x:v>02_Detalle_Ingresos</x:v>
      </x:c>
      <x:c r="H9" s="15" t="str">
        <x:v>Paquete clave para defender evidencia de obra y servicio al cliente.</x:v>
      </x:c>
    </x:row>
    <x:row r="10">
      <x:c r="A10" s="13" t="str">
        <x:v>P4 DPP / Carpeta Madre</x:v>
      </x:c>
      <x:c r="B10" s="14" t="str">
        <x:v>8/9</x:v>
      </x:c>
      <x:c r="C10" s="14" t="str">
        <x:v>Pasaporte documental y dossier vivo</x:v>
      </x:c>
      <x:c r="D10" s="14" t="str">
        <x:v>m2 con DPP completado</x:v>
      </x:c>
      <x:c r="E10" s="14" t="str">
        <x:v>Documentacion tecnica, evidencias, responsables, permisos, trazabilidad documental</x:v>
      </x:c>
      <x:c r="F10" s="14" t="str">
        <x:v>DPP / Carpeta Madre emitida</x:v>
      </x:c>
      <x:c r="G10" s="14" t="str">
        <x:v>02_Detalle_Ingresos</x:v>
      </x:c>
      <x:c r="H10" s="15" t="str">
        <x:v>Capa documental que convierte el activo en verificable y mantenible.</x:v>
      </x:c>
    </x:row>
    <x:row r="11">
      <x:c r="A11" s="13" t="str">
        <x:v>P5 Data / Risk / Market</x:v>
      </x:c>
      <x:c r="B11" s="14" t="str">
        <x:v>8/9</x:v>
      </x:c>
      <x:c r="C11" s="14" t="str">
        <x:v>Datos, reporting, riesgo y marketplace</x:v>
      </x:c>
      <x:c r="D11" s="14" t="str">
        <x:v>Stock vivo / penetracion</x:v>
      </x:c>
      <x:c r="E11" s="14" t="str">
        <x:v>Data layers, indicadores, reporting, scoring operativo, permisos, APIs, marketplace</x:v>
      </x:c>
      <x:c r="F11" s="14" t="str">
        <x:v>Datos explotables y servicios recurrentes</x:v>
      </x:c>
      <x:c r="G11" s="14" t="str">
        <x:v>02_Detalle_Ingresos</x:v>
      </x:c>
      <x:c r="H11" s="15" t="str">
        <x:v>Motor de recurrencia y expansion de margen.</x:v>
      </x:c>
    </x:row>
    <x:row r="12">
      <x:c r="A12" s="13" t="str">
        <x:v>CUEVA Designer</x:v>
      </x:c>
      <x:c r="B12" s="14" t="str">
        <x:v>8/9</x:v>
      </x:c>
      <x:c r="C12" s="14" t="str">
        <x:v>Diseño/generativo/API</x:v>
      </x:c>
      <x:c r="D12" s="14" t="str">
        <x:v>m2 emitidos x adopcion</x:v>
      </x:c>
      <x:c r="E12" s="14" t="str">
        <x:v>Configurador, generacion de proyectos, reglas, outputs y conexion a API</x:v>
      </x:c>
      <x:c r="F12" s="14" t="str">
        <x:v>Proyecto generado/validado</x:v>
      </x:c>
      <x:c r="G12" s="14" t="str">
        <x:v>02_Detalle_Ingresos</x:v>
      </x:c>
      <x:c r="H12" s="15" t="str">
        <x:v>Integra el desarrollo de vivienda generativa en la plataforma.</x:v>
      </x:c>
    </x:row>
    <x:row r="13">
      <x:c r="A13" s="13" t="str">
        <x:v>CUEVA Manager</x:v>
      </x:c>
      <x:c r="B13" s="14" t="str">
        <x:v>8/9</x:v>
      </x:c>
      <x:c r="C13" s="14" t="str">
        <x:v>Gestion operacional de proyectos y agentes</x:v>
      </x:c>
      <x:c r="D13" s="14" t="str">
        <x:v>m2 emitidos x adopcion</x:v>
      </x:c>
      <x:c r="E13" s="14" t="str">
        <x:v>Project room, permisos, tareas, control de cambios, colaboracion y estado</x:v>
      </x:c>
      <x:c r="F13" s="14" t="str">
        <x:v>Proyecto gestionado en plataforma</x:v>
      </x:c>
      <x:c r="G13" s="14" t="str">
        <x:v>02_Detalle_Ingresos</x:v>
      </x:c>
      <x:c r="H13" s="15" t="str">
        <x:v>Interfaz de gestion para agentes de la red.</x:v>
      </x:c>
    </x:row>
    <x:row r="14">
      <x:c r="A14" s="13" t="str">
        <x:v>iPath</x:v>
      </x:c>
      <x:c r="B14" s="14" t="str">
        <x:v>8/9</x:v>
      </x:c>
      <x:c r="C14" s="14" t="str">
        <x:v>Vertical de infraestructura urbana industrializada</x:v>
      </x:c>
      <x:c r="D14" s="14" t="str">
        <x:v>Revenue vertical</x:v>
      </x:c>
      <x:c r="E14" s="14" t="str">
        <x:v>Diseño de rutas, piezas, instalacion, datos, mantenimiento y reporting</x:v>
      </x:c>
      <x:c r="F14" s="14" t="str">
        <x:v>Caso iPath operativo</x:v>
      </x:c>
      <x:c r="G14" s="14" t="str">
        <x:v>02_Detalle_Ingresos</x:v>
      </x:c>
      <x:c r="H14" s="15" t="str">
        <x:v>Linea de producto con ingresos propios.</x:v>
      </x:c>
    </x:row>
    <x:row r="15">
      <x:c r="A15" s="13" t="str">
        <x:v>Moolde</x:v>
      </x:c>
      <x:c r="B15" s="14" t="str">
        <x:v>8/9</x:v>
      </x:c>
      <x:c r="C15" s="14" t="str">
        <x:v>Circularidad/materiales</x:v>
      </x:c>
      <x:c r="D15" s="14" t="str">
        <x:v>Revenue vertical</x:v>
      </x:c>
      <x:c r="E15" s="14" t="str">
        <x:v>Registro de materiales, stock, trazabilidad, recuperacion y valorizacion</x:v>
      </x:c>
      <x:c r="F15" s="14" t="str">
        <x:v>Caso Moolde operativo</x:v>
      </x:c>
      <x:c r="G15" s="14" t="str">
        <x:v>02_Detalle_Ingresos</x:v>
      </x:c>
      <x:c r="H15" s="15" t="str">
        <x:v>Complementa circularidad, residuos y eficiencia material.</x:v>
      </x:c>
    </x:row>
    <x:row r="16">
      <x:c r="A16" s="13" t="str">
        <x:v>Activos digitales</x:v>
      </x:c>
      <x:c r="B16" s="14" t="str">
        <x:v>6/7</x:v>
      </x:c>
      <x:c r="C16" s="14" t="str">
        <x:v>Capa financiera, tokenizacion y modelos NFT</x:v>
      </x:c>
      <x:c r="D16" s="14" t="str">
        <x:v>Financial Layer</x:v>
      </x:c>
      <x:c r="E16" s="14" t="str">
        <x:v>Modelo financiero, identidad digital, derechos, gobernanza y evidencias asociadas</x:v>
      </x:c>
      <x:c r="F16" s="14" t="str">
        <x:v>Capa financiera preparada para siguiente fase</x:v>
      </x:c>
      <x:c r="G16" s="14" t="str">
        <x:v>02_Detalle_Ingresos</x:v>
      </x:c>
      <x:c r="H16" s="15" t="str">
        <x:v>Se mantiene en TRL inferior frente al core operativo.</x:v>
      </x:c>
    </x:row>
    <x:row r="17">
      <x:c r="A17" s="13" t="str">
        <x:v>Red de partners</x:v>
      </x:c>
      <x:c r="B17" s="14" t="str">
        <x:v>8/9</x:v>
      </x:c>
      <x:c r="C17" s="14" t="str">
        <x:v>Escala comercial y operativa</x:v>
      </x:c>
      <x:c r="D17" s="14" t="str">
        <x:v>Partners activos</x:v>
      </x:c>
      <x:c r="E17" s="14" t="str">
        <x:v>Onboarding, formacion, soporte, protocolos, QA, enablement y seguimiento</x:v>
      </x:c>
      <x:c r="F17" s="14" t="str">
        <x:v>Partner activo y medible</x:v>
      </x:c>
      <x:c r="G17" s="14" t="str">
        <x:v>03_Detalle_Personal / 04_OPEX_Operativo</x:v>
      </x:c>
      <x:c r="H17" s="15" t="str">
        <x:v>Afecta ingresos, OPEX, capacidad de entrega y velocidad de escala.</x:v>
      </x:c>
    </x:row>
    <x:row r="18">
      <x:c r="A18" s="13"/>
      <x:c r="B18" s="14"/>
      <x:c r="C18" s="14"/>
      <x:c r="D18" s="14"/>
      <x:c r="E18" s="14"/>
      <x:c r="F18" s="14"/>
      <x:c r="G18" s="14"/>
      <x:c r="H18" s="15"/>
    </x:row>
    <x:row r="19">
      <x:c r="A19" s="13"/>
      <x:c r="B19" s="14"/>
      <x:c r="C19" s="14"/>
      <x:c r="D19" s="14"/>
      <x:c r="E19" s="14"/>
      <x:c r="F19" s="14"/>
      <x:c r="G19" s="14"/>
      <x:c r="H19" s="15"/>
    </x:row>
    <x:row r="20">
      <x:c r="A20" s="13"/>
      <x:c r="B20" s="14"/>
      <x:c r="C20" s="14"/>
      <x:c r="D20" s="14"/>
      <x:c r="E20" s="14"/>
      <x:c r="F20" s="14"/>
      <x:c r="G20" s="14"/>
      <x:c r="H20" s="15"/>
    </x:row>
    <x:row r="21">
      <x:c r="A21" s="13"/>
      <x:c r="B21" s="14"/>
      <x:c r="C21" s="14"/>
      <x:c r="D21" s="14"/>
      <x:c r="E21" s="14"/>
      <x:c r="F21" s="14"/>
      <x:c r="G21" s="14"/>
      <x:c r="H21" s="15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3"/>
      <x:c r="B70" s="14"/>
      <x:c r="C70" s="14"/>
      <x:c r="D70" s="14"/>
      <x:c r="E70" s="14"/>
      <x:c r="F70" s="14"/>
      <x:c r="G70" s="14"/>
      <x:c r="H70" s="15"/>
    </x:row>
    <x:row r="71">
      <x:c r="A71" s="13"/>
      <x:c r="B71" s="14"/>
      <x:c r="C71" s="14"/>
      <x:c r="D71" s="14"/>
      <x:c r="E71" s="14"/>
      <x:c r="F71" s="14"/>
      <x:c r="G71" s="14"/>
      <x:c r="H71" s="15"/>
    </x:row>
    <x:row r="72">
      <x:c r="A72" s="13"/>
      <x:c r="B72" s="14"/>
      <x:c r="C72" s="14"/>
      <x:c r="D72" s="14"/>
      <x:c r="E72" s="14"/>
      <x:c r="F72" s="14"/>
      <x:c r="G72" s="14"/>
      <x:c r="H72" s="15"/>
    </x:row>
    <x:row r="73">
      <x:c r="A73" s="13"/>
      <x:c r="B73" s="14"/>
      <x:c r="C73" s="14"/>
      <x:c r="D73" s="14"/>
      <x:c r="E73" s="14"/>
      <x:c r="F73" s="14"/>
      <x:c r="G73" s="14"/>
      <x:c r="H73" s="15"/>
    </x:row>
    <x:row r="74">
      <x:c r="A74" s="13"/>
      <x:c r="B74" s="14"/>
      <x:c r="C74" s="14"/>
      <x:c r="D74" s="14"/>
      <x:c r="E74" s="14"/>
      <x:c r="F74" s="14"/>
      <x:c r="G74" s="14"/>
      <x:c r="H74" s="15"/>
    </x:row>
    <x:row r="75">
      <x:c r="A75" s="13"/>
      <x:c r="B75" s="14"/>
      <x:c r="C75" s="14"/>
      <x:c r="D75" s="14"/>
      <x:c r="E75" s="14"/>
      <x:c r="F75" s="14"/>
      <x:c r="G75" s="14"/>
      <x:c r="H75" s="15"/>
    </x:row>
    <x:row r="76">
      <x:c r="A76" s="13"/>
      <x:c r="B76" s="14"/>
      <x:c r="C76" s="14"/>
      <x:c r="D76" s="14"/>
      <x:c r="E76" s="14"/>
      <x:c r="F76" s="14"/>
      <x:c r="G76" s="14"/>
      <x:c r="H76" s="15"/>
    </x:row>
    <x:row r="77">
      <x:c r="A77" s="13"/>
      <x:c r="B77" s="14"/>
      <x:c r="C77" s="14"/>
      <x:c r="D77" s="14"/>
      <x:c r="E77" s="14"/>
      <x:c r="F77" s="14"/>
      <x:c r="G77" s="14"/>
      <x:c r="H77" s="15"/>
    </x:row>
    <x:row r="78">
      <x:c r="A78" s="13"/>
      <x:c r="B78" s="14"/>
      <x:c r="C78" s="14"/>
      <x:c r="D78" s="14"/>
      <x:c r="E78" s="14"/>
      <x:c r="F78" s="14"/>
      <x:c r="G78" s="14"/>
      <x:c r="H78" s="15"/>
    </x:row>
    <x:row r="79">
      <x:c r="A79" s="13"/>
      <x:c r="B79" s="14"/>
      <x:c r="C79" s="14"/>
      <x:c r="D79" s="14"/>
      <x:c r="E79" s="14"/>
      <x:c r="F79" s="14"/>
      <x:c r="G79" s="14"/>
      <x:c r="H79" s="15"/>
    </x:row>
    <x:row r="80">
      <x:c r="A80" s="16"/>
      <x:c r="B80" s="17"/>
      <x:c r="C80" s="17"/>
      <x:c r="D80" s="17"/>
      <x:c r="E80" s="17"/>
      <x:c r="F80" s="17"/>
      <x:c r="G80" s="17"/>
      <x:c r="H80" s="18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>
      <x:c r="A1" s="107" t="str">
        <x:v>11 INV Resumen 4,2M</x:v>
      </x:c>
      <x:c r="B1" s="108" t="str"/>
      <x:c r="C1" s="108" t="str"/>
      <x:c r="D1" s="109" t="str"/>
      <x:c r="E1" s="109" t="str"/>
      <x:c r="F1" s="109" t="str"/>
      <x:c r="G1" s="109" t="str"/>
      <x:c r="H1" s="110" t="str"/>
    </x:row>
    <x:row r="2">
      <x:c r="A2" s="111" t="str">
        <x:v>Bloque separado de inversion acumulada y valor actual defendido. No forma parte del motor operativo 2030.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Indicador</x:v>
      </x:c>
      <x:c r="B5" s="115" t="str">
        <x:v>Valor</x:v>
      </x:c>
      <x:c r="C5" s="115" t="str">
        <x:v>Unidad</x:v>
      </x:c>
      <x:c r="D5" s="115" t="str">
        <x:v>Lectura</x:v>
      </x:c>
      <x:c r="E5" s="115" t="str">
        <x:v>Fuente / soporte</x:v>
      </x:c>
      <x:c r="F5" s="115" t="str">
        <x:v>Notas</x:v>
      </x:c>
      <x:c r="G5" s="14"/>
      <x:c r="H5" s="15"/>
    </x:row>
    <x:row r="6" ht="30" customHeight="1">
      <x:c r="A6" s="138" t="str">
        <x:v>Valor actual defendido</x:v>
      </x:c>
      <x:c r="B6" s="139" t="n">
        <x:v>4216174.7</x:v>
      </x:c>
      <x:c r="C6" s="139" t="str">
        <x:v>EUR</x:v>
      </x:c>
      <x:c r="D6" s="139" t="str">
        <x:v>Inversion historica acumulada, IP, producto, casos y relaciones</x:v>
      </x:c>
      <x:c r="E6" s="139" t="str">
        <x:v>Informe de inversion y producto / BP inversores</x:v>
      </x:c>
      <x:c r="F6" s="139" t="str">
        <x:v>Base de conversacion de valor actual, no DCF.</x:v>
      </x:c>
      <x:c r="G6" s="140"/>
      <x:c r="H6" s="141"/>
    </x:row>
    <x:row r="7" ht="30" customHeight="1">
      <x:c r="A7" s="138" t="str">
        <x:v>Total detalle familias</x:v>
      </x:c>
      <x:c r="B7" s="139" t="n">
        <x:f>'12_INV_Familias'!C21</x:f>
        <x:v>4216174.7</x:v>
      </x:c>
      <x:c r="C7" s="139" t="str">
        <x:v>EUR</x:v>
      </x:c>
      <x:c r="D7" s="139" t="str">
        <x:v>Suma de la pestaña 12_INV_Familias</x:v>
      </x:c>
      <x:c r="E7" s="139" t="str">
        <x:v>12_INV_Familias</x:v>
      </x:c>
      <x:c r="F7" s="139" t="str">
        <x:v>Debe conciliar con la cifra defendida.</x:v>
      </x:c>
      <x:c r="G7" s="140"/>
      <x:c r="H7" s="141"/>
    </x:row>
    <x:row r="8" ht="30" customHeight="1">
      <x:c r="A8" s="138" t="str">
        <x:v>Diferencia conciliacion</x:v>
      </x:c>
      <x:c r="B8" s="139" t="n">
        <x:f>B6-B7</x:f>
        <x:v>0</x:v>
      </x:c>
      <x:c r="C8" s="139" t="str">
        <x:v>EUR</x:v>
      </x:c>
      <x:c r="D8" s="139" t="str">
        <x:v>Valor defendido menos detalle</x:v>
      </x:c>
      <x:c r="E8" s="139" t="str">
        <x:v>Control de conciliacion</x:v>
      </x:c>
      <x:c r="F8" s="139" t="str">
        <x:v>Debe ser cero salvo redondeos.</x:v>
      </x:c>
      <x:c r="G8" s="140"/>
      <x:c r="H8" s="141"/>
    </x:row>
    <x:row r="9" ht="30" customHeight="1">
      <x:c r="A9" s="142" t="str">
        <x:v>Criterio de valor</x:v>
      </x:c>
      <x:c r="B9" s="140" t="str">
        <x:v>Coste de construccion de activo</x:v>
      </x:c>
      <x:c r="C9" s="140" t="str">
        <x:v>texto</x:v>
      </x:c>
      <x:c r="D9" s="140" t="str">
        <x:v>Cost-to-build + producto + know-how + documentacion tecnica</x:v>
      </x:c>
      <x:c r="E9" s="140" t="str">
        <x:v>Documentacion EDRO/CUEVA</x:v>
      </x:c>
      <x:c r="F9" s="140" t="str">
        <x:v>No se presenta como tasacion independiente.</x:v>
      </x:c>
      <x:c r="G9" s="140"/>
      <x:c r="H9" s="141"/>
    </x:row>
    <x:row r="10" ht="30" customHeight="1">
      <x:c r="A10" s="142" t="str">
        <x:v>Separacion del modelo</x:v>
      </x:c>
      <x:c r="B10" s="140" t="str">
        <x:v>Bloque independiente</x:v>
      </x:c>
      <x:c r="C10" s="140" t="str">
        <x:v>texto</x:v>
      </x:c>
      <x:c r="D10" s="140" t="str">
        <x:v>Estas hojas no alimentan ingresos/OPEX/P&amp;L 2030</x:v>
      </x:c>
      <x:c r="E10" s="140" t="str">
        <x:v>Estructura separada</x:v>
      </x:c>
      <x:c r="F10" s="140" t="str">
        <x:v>Evita mezclar inversion acumulada con forecast.</x:v>
      </x:c>
      <x:c r="G10" s="140"/>
      <x:c r="H10" s="141"/>
    </x:row>
    <x:row r="11" ht="30" customHeight="1">
      <x:c r="A11" s="142" t="str"/>
      <x:c r="B11" s="140" t="str"/>
      <x:c r="C11" s="140" t="str"/>
      <x:c r="D11" s="140" t="str"/>
      <x:c r="E11" s="140" t="str"/>
      <x:c r="F11" s="140" t="str"/>
      <x:c r="G11" s="140"/>
      <x:c r="H11" s="141"/>
    </x:row>
    <x:row r="12" ht="30" customHeight="1">
      <x:c r="A12" s="142"/>
      <x:c r="B12" s="140"/>
      <x:c r="C12" s="140"/>
      <x:c r="D12" s="140"/>
      <x:c r="E12" s="140"/>
      <x:c r="F12" s="140"/>
      <x:c r="G12" s="140"/>
      <x:c r="H12" s="141"/>
    </x:row>
    <x:row r="13" ht="30" customHeight="1">
      <x:c r="A13" s="143" t="str">
        <x:v>Presupuestos externos y referencias tecnicas</x:v>
      </x:c>
      <x:c r="B13" s="144" t="str"/>
      <x:c r="C13" s="144" t="str"/>
      <x:c r="D13" s="144" t="str"/>
      <x:c r="E13" s="144" t="str"/>
      <x:c r="F13" s="144" t="str"/>
      <x:c r="G13" s="144" t="str"/>
      <x:c r="H13" s="145" t="str"/>
    </x:row>
    <x:row r="14" ht="30" customHeight="1">
      <x:c r="A14" s="146" t="str">
        <x:v>Referencia</x:v>
      </x:c>
      <x:c r="B14" s="147" t="str">
        <x:v>Importe</x:v>
      </x:c>
      <x:c r="C14" s="147" t="str">
        <x:v>Unidad</x:v>
      </x:c>
      <x:c r="D14" s="147" t="str">
        <x:v>Lectura</x:v>
      </x:c>
      <x:c r="E14" s="147" t="str">
        <x:v>Relacion con inversion 4,2M</x:v>
      </x:c>
      <x:c r="F14" s="147" t="str">
        <x:v>Uso correcto</x:v>
      </x:c>
      <x:c r="G14" s="147" t="str">
        <x:v>Fuente</x:v>
      </x:c>
      <x:c r="H14" s="148" t="str">
        <x:v>Notas</x:v>
      </x:c>
    </x:row>
    <x:row r="15" ht="30" customHeight="1">
      <x:c r="A15" s="142" t="str">
        <x:v>CDTI</x:v>
      </x:c>
      <x:c r="B15" s="149" t="n">
        <x:v>990000</x:v>
      </x:c>
      <x:c r="C15" s="140" t="str">
        <x:v>EUR</x:v>
      </x:c>
      <x:c r="D15" s="140" t="str">
        <x:v>Valida sistema fisico, DfMA, prototipos, ensayos y maquinaria</x:v>
      </x:c>
      <x:c r="E15" s="140" t="str">
        <x:v>Soporte tecnico externo superior a una parte del coste construido</x:v>
      </x:c>
      <x:c r="F15" s="140" t="str">
        <x:v>Referencia tecnica, no deuda</x:v>
      </x:c>
      <x:c r="G15" s="140" t="str">
        <x:v>Presupuesto/memoria CDTI</x:v>
      </x:c>
      <x:c r="H15" s="141" t="str">
        <x:v>CDTI no se considera deuda a devolver.</x:v>
      </x:c>
    </x:row>
    <x:row r="16" ht="30" customHeight="1">
      <x:c r="A16" s="142" t="str">
        <x:v>Cervera</x:v>
      </x:c>
      <x:c r="B16" s="149" t="n">
        <x:v>840000</x:v>
      </x:c>
      <x:c r="C16" s="140" t="str">
        <x:v>EUR</x:v>
      </x:c>
      <x:c r="D16" s="140" t="str">
        <x:v>Valida sistema digital 4.0, datos, software, IoT y fabricacion inteligente</x:v>
      </x:c>
      <x:c r="E16" s="140" t="str">
        <x:v>Soporte tecnico de software/datos y capa industrial</x:v>
      </x:c>
      <x:c r="F16" s="140" t="str">
        <x:v>Referencia tecnica</x:v>
      </x:c>
      <x:c r="G16" s="140" t="str">
        <x:v>Presupuesto Cervera</x:v>
      </x:c>
      <x:c r="H16" s="141" t="str">
        <x:v>Conecta con CEREBRO, DPP, POI, GIS y neuronas.</x:v>
      </x:c>
    </x:row>
    <x:row r="17" ht="30" customHeight="1">
      <x:c r="A17" s="142" t="str">
        <x:v>Tax Lease Leyton</x:v>
      </x:c>
      <x:c r="B17" s="149" t="n">
        <x:v>2020000</x:v>
      </x:c>
      <x:c r="C17" s="140" t="str">
        <x:v>EUR</x:v>
      </x:c>
      <x:c r="D17" s="140" t="str">
        <x:v>Valida placas modulares inteligentes y desarrollo asociado</x:v>
      </x:c>
      <x:c r="E17" s="140" t="str">
        <x:v>Referencia de alcance presupuestado frente a inversion defendida</x:v>
      </x:c>
      <x:c r="F17" s="140" t="str">
        <x:v>Referencia tecnica/fiscal documentada</x:v>
      </x:c>
      <x:c r="G17" s="140" t="str">
        <x:v>Tax Lease Leyton</x:v>
      </x:c>
      <x:c r="H17" s="141" t="str">
        <x:v>No se imputan ingresos no documentados.</x:v>
      </x:c>
    </x:row>
    <x:row r="18" ht="30" customHeight="1">
      <x:c r="A18" s="142" t="str">
        <x:v>Tax Lease Arcano / CEREBRO</x:v>
      </x:c>
      <x:c r="B18" s="149" t="n">
        <x:v>5724400</x:v>
      </x:c>
      <x:c r="C18" s="140" t="str">
        <x:v>EUR</x:v>
      </x:c>
      <x:c r="D18" s="140" t="str">
        <x:v>Sistema ciberfisico completo</x:v>
      </x:c>
      <x:c r="E18" s="140" t="str">
        <x:v>Presupuesto externo por encima de la inversion defendida</x:v>
      </x:c>
      <x:c r="F18" s="140" t="str">
        <x:v>Referencia de alcance</x:v>
      </x:c>
      <x:c r="G18" s="140" t="str">
        <x:v>Tax Lease Arcano</x:v>
      </x:c>
      <x:c r="H18" s="141" t="str">
        <x:v>Fabricacion, almacen, transporte, montaje, vida y comunidad.</x:v>
      </x:c>
    </x:row>
    <x:row r="19" ht="30" customHeight="1">
      <x:c r="A19" s="142" t="str">
        <x:v>CEREBRO por fases</x:v>
      </x:c>
      <x:c r="B19" s="149" t="n">
        <x:v>6408402</x:v>
      </x:c>
      <x:c r="C19" s="140" t="str">
        <x:v>EUR</x:v>
      </x:c>
      <x:c r="D19" s="140" t="str">
        <x:v>Matriz completa de paquetes tecnicos</x:v>
      </x:c>
      <x:c r="E19" s="140" t="str">
        <x:v>Mapa de alcance superado por productizacion actual</x:v>
      </x:c>
      <x:c r="F19" s="140" t="str">
        <x:v>Referencia de paquetes</x:v>
      </x:c>
      <x:c r="G19" s="140" t="str">
        <x:v>CEREBRO por fases</x:v>
      </x:c>
      <x:c r="H19" s="141" t="str">
        <x:v>Sirve para conectar inversion a paquetes de producto.</x:v>
      </x:c>
    </x:row>
    <x:row r="20" ht="30" customHeight="1">
      <x:c r="A20" s="138" t="str">
        <x:v>Valor defendido CUEVA</x:v>
      </x:c>
      <x:c r="B20" s="139" t="n">
        <x:v>4216174.7</x:v>
      </x:c>
      <x:c r="C20" s="139" t="str">
        <x:v>EUR</x:v>
      </x:c>
      <x:c r="D20" s="139" t="str">
        <x:v>Activo ya construido y defendible</x:v>
      </x:c>
      <x:c r="E20" s="139" t="str">
        <x:v>Cifra base de la compañia hasta la fecha</x:v>
      </x:c>
      <x:c r="F20" s="139" t="str">
        <x:v>Base de negociacion</x:v>
      </x:c>
      <x:c r="G20" s="139" t="str">
        <x:v>Informe inversion/producto</x:v>
      </x:c>
      <x:c r="H20" s="150" t="str">
        <x:v>Incluye inversion acumulada y productizacion.</x:v>
      </x:c>
    </x:row>
    <x:row r="21">
      <x:c r="A21" s="13"/>
      <x:c r="B21" s="14"/>
      <x:c r="C21" s="14"/>
      <x:c r="D21" s="14"/>
      <x:c r="E21" s="14"/>
      <x:c r="F21" s="14"/>
      <x:c r="G21" s="14"/>
      <x:c r="H21" s="15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6"/>
      <x:c r="B60" s="17"/>
      <x:c r="C60" s="17"/>
      <x:c r="D60" s="17"/>
      <x:c r="E60" s="17"/>
      <x:c r="F60" s="17"/>
      <x:c r="G60" s="17"/>
      <x:c r="H60" s="18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40" hidden="0" customWidth="1"/>
    <x:col min="7" max="7" width="40" hidden="0" customWidth="1"/>
    <x:col min="8" max="8" width="40" hidden="0" customWidth="1"/>
  </x:cols>
  <x:sheetData>
    <x:row r="1">
      <x:c r="A1" s="107" t="str">
        <x:v>12 INV Familias tecnicas</x:v>
      </x:c>
      <x:c r="B1" s="108" t="str"/>
      <x:c r="C1" s="108" t="str"/>
      <x:c r="D1" s="108" t="str"/>
      <x:c r="E1" s="108" t="str"/>
      <x:c r="F1" s="109" t="str"/>
      <x:c r="G1" s="109" t="str"/>
      <x:c r="H1" s="110" t="str"/>
    </x:row>
    <x:row r="2">
      <x:c r="A2" s="111" t="str">
        <x:v>Desglose de los 4.216.174,70 EUR por familias tecnicas y lectura de producto.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Familia</x:v>
      </x:c>
      <x:c r="B5" s="115" t="str">
        <x:v>Periodo</x:v>
      </x:c>
      <x:c r="C5" s="115" t="str">
        <x:v>Inversion EUR</x:v>
      </x:c>
      <x:c r="D5" s="115" t="str">
        <x:v>% total</x:v>
      </x:c>
      <x:c r="E5" s="115" t="str">
        <x:v>TRL actual</x:v>
      </x:c>
      <x:c r="F5" s="115" t="str">
        <x:v>Producto / paquete asociado</x:v>
      </x:c>
      <x:c r="G5" s="115" t="str">
        <x:v>Lectura de producto</x:v>
      </x:c>
      <x:c r="H5" s="129" t="str">
        <x:v>Fuente / nota</x:v>
      </x:c>
    </x:row>
    <x:row r="6" ht="34" customHeight="1">
      <x:c r="A6" s="142" t="str">
        <x:v>Fundacion tecnica</x:v>
      </x:c>
      <x:c r="B6" s="140" t="str">
        <x:v>2012/13-2018</x:v>
      </x:c>
      <x:c r="C6" s="149" t="n">
        <x:v>425000</x:v>
      </x:c>
      <x:c r="D6" s="151" t="n">
        <x:f>C6/$C$21</x:f>
        <x:v>0.10080227463060294</x:v>
      </x:c>
      <x:c r="E6" s="140" t="str">
        <x:v>8/9</x:v>
      </x:c>
      <x:c r="F6" s="140" t="str">
        <x:v>Arquitectura fisica, mecanica, geometria base</x:v>
      </x:c>
      <x:c r="G6" s="140" t="str">
        <x:v>CUEVA OS no nace como software aislado: nace sobre una arquitectura fisica y una logica constructiva propia.</x:v>
      </x:c>
      <x:c r="H6" s="141" t="str">
        <x:v>Asignacion de etapa inicial.</x:v>
      </x:c>
    </x:row>
    <x:row r="7" ht="34" customHeight="1">
      <x:c r="A7" s="142" t="str">
        <x:v>Sistema fisico + DfMA</x:v>
      </x:c>
      <x:c r="B7" s="140" t="str">
        <x:v>2019-2022/23</x:v>
      </x:c>
      <x:c r="C7" s="149" t="n">
        <x:v>273326</x:v>
      </x:c>
      <x:c r="D7" s="151" t="n">
        <x:f>C7/$C$21</x:f>
        <x:v>0.06482795886043337</x:v>
      </x:c>
      <x:c r="E7" s="140" t="str">
        <x:v>8/9</x:v>
      </x:c>
      <x:c r="F7" s="140" t="str">
        <x:v>Factory Core / identidad pieza-activo</x:v>
      </x:c>
      <x:c r="G7" s="140" t="str">
        <x:v>Base de la identidad pieza-activo; sin ella no hay POI/DPP verificable.</x:v>
      </x:c>
      <x:c r="H7" s="141" t="str">
        <x:v>CDTI / desarrollo industrial.</x:v>
      </x:c>
    </x:row>
    <x:row r="8" ht="34" customHeight="1">
      <x:c r="A8" s="142" t="str">
        <x:v>CEREBRO + software/datos</x:v>
      </x:c>
      <x:c r="B8" s="140" t="str">
        <x:v>2019-2022/23</x:v>
      </x:c>
      <x:c r="C8" s="149" t="n">
        <x:v>375000</x:v>
      </x:c>
      <x:c r="D8" s="151" t="n">
        <x:f>C8/$C$21</x:f>
        <x:v>0.08894318349759084</x:v>
      </x:c>
      <x:c r="E8" s="140" t="str">
        <x:v>8/9</x:v>
      </x:c>
      <x:c r="F8" s="140" t="str">
        <x:v>Designer, Project Room, DPP, POI</x:v>
      </x:c>
      <x:c r="G8" s="140" t="str">
        <x:v>Columna vertebral: Designer, Project Room, DPP, POI y verticales dependen de este nucleo.</x:v>
      </x:c>
      <x:c r="H8" s="141" t="str">
        <x:v>Tax Lease / CEREBRO.</x:v>
      </x:c>
    </x:row>
    <x:row r="9" ht="34" customHeight="1">
      <x:c r="A9" s="142" t="str">
        <x:v>IoT + comunicaciones</x:v>
      </x:c>
      <x:c r="B9" s="140" t="str">
        <x:v>2019-2022/23</x:v>
      </x:c>
      <x:c r="C9" s="149" t="n">
        <x:v>180000</x:v>
      </x:c>
      <x:c r="D9" s="151" t="n">
        <x:f>C9/$C$21</x:f>
        <x:v>0.0426927280788436</x:v>
      </x:c>
      <x:c r="E9" s="140" t="str">
        <x:v>8/9</x:v>
      </x:c>
      <x:c r="F9" s="140" t="str">
        <x:v>Neuronas, lectura, evidencias</x:v>
      </x:c>
      <x:c r="G9" s="140" t="str">
        <x:v>Bisagra entre pieza fisica, fabrica, obra y evidencia digital.</x:v>
      </x:c>
      <x:c r="H9" s="141" t="str">
        <x:v>Cervera / CEREBRO.</x:v>
      </x:c>
    </x:row>
    <x:row r="10" ht="34" customHeight="1">
      <x:c r="A10" s="142" t="str">
        <x:v>Operativa industrial</x:v>
      </x:c>
      <x:c r="B10" s="140" t="str">
        <x:v>2019-2022/23</x:v>
      </x:c>
      <x:c r="C10" s="149" t="n">
        <x:v>794759</x:v>
      </x:c>
      <x:c r="D10" s="151" t="n">
        <x:f>C10/$C$21</x:f>
        <x:v>0.18850238819563145</x:v>
      </x:c>
      <x:c r="E10" s="140" t="str">
        <x:v>8/9</x:v>
      </x:c>
      <x:c r="F10" s="140" t="str">
        <x:v>Factory Core, Factory Flow, Site Proof</x:v>
      </x:c>
      <x:c r="G10" s="140" t="str">
        <x:v>Base de la Carta de Servicios y de la operacion verificable.</x:v>
      </x:c>
      <x:c r="H10" s="141" t="str">
        <x:v>Base EDRO con operativa.</x:v>
      </x:c>
    </x:row>
    <x:row r="11" ht="34" customHeight="1">
      <x:c r="A11" s="142" t="str">
        <x:v>Ingeniero virtual</x:v>
      </x:c>
      <x:c r="B11" s="140" t="str">
        <x:v>2021-2023</x:v>
      </x:c>
      <x:c r="C11" s="149" t="n">
        <x:v>261965</x:v>
      </x:c>
      <x:c r="D11" s="151" t="n">
        <x:f>C11/$C$21</x:f>
        <x:v>0.062133336173190355</x:v>
      </x:c>
      <x:c r="E11" s="140" t="str">
        <x:v>8/9</x:v>
      </x:c>
      <x:c r="F11" s="140" t="str">
        <x:v>Designer / vivienda generativa / API</x:v>
      </x:c>
      <x:c r="G11" s="140" t="str">
        <x:v>Copiloto tecnico: CAD/BIM/calculo, heuristica, predictivos y automatizacion.</x:v>
      </x:c>
      <x:c r="H11" s="141" t="str">
        <x:v>CEREBRO / software.</x:v>
      </x:c>
    </x:row>
    <x:row r="12" ht="34" customHeight="1">
      <x:c r="A12" s="142" t="str">
        <x:v>Vida + comunidad</x:v>
      </x:c>
      <x:c r="B12" s="140" t="str">
        <x:v>2021-2023</x:v>
      </x:c>
      <x:c r="C12" s="149" t="n">
        <x:v>236125</x:v>
      </x:c>
      <x:c r="D12" s="151" t="n">
        <x:f>C12/$C$21</x:f>
        <x:v>0.056004557875649695</x:v>
      </x:c>
      <x:c r="E12" s="140" t="str">
        <x:v>8/9</x:v>
      </x:c>
      <x:c r="F12" s="140" t="str">
        <x:v>Market OS, postventa, circularidad</x:v>
      </x:c>
      <x:c r="G12" s="140" t="str">
        <x:v>Postventa, circularidad y economia de plataforma.</x:v>
      </x:c>
      <x:c r="H12" s="141" t="str">
        <x:v>CEREBRO por fases.</x:v>
      </x:c>
    </x:row>
    <x:row r="13" ht="34" customHeight="1">
      <x:c r="A13" s="142" t="str">
        <x:v>DPP / pasaporte digital</x:v>
      </x:c>
      <x:c r="B13" s="140" t="str">
        <x:v>2023-act.</x:v>
      </x:c>
      <x:c r="C13" s="149" t="n">
        <x:v>220000</x:v>
      </x:c>
      <x:c r="D13" s="151" t="n">
        <x:f>C13/$C$21</x:f>
        <x:v>0.052180000985253286</x:v>
      </x:c>
      <x:c r="E13" s="140" t="str">
        <x:v>8/9</x:v>
      </x:c>
      <x:c r="F13" s="140" t="str">
        <x:v>DPP / Carpeta Madre</x:v>
      </x:c>
      <x:c r="G13" s="140" t="str">
        <x:v>El producto fisico pasa a tener memoria, estado y trazabilidad explotable.</x:v>
      </x:c>
      <x:c r="H13" s="141" t="str">
        <x:v>Productizacion CUEVA OS.</x:v>
      </x:c>
    </x:row>
    <x:row r="14" ht="34" customHeight="1">
      <x:c r="A14" s="142" t="str">
        <x:v>POI / prueba de instalacion</x:v>
      </x:c>
      <x:c r="B14" s="140" t="str">
        <x:v>2023-act.</x:v>
      </x:c>
      <x:c r="C14" s="149" t="n">
        <x:v>190000</x:v>
      </x:c>
      <x:c r="D14" s="151" t="n">
        <x:f>C14/$C$21</x:f>
        <x:v>0.04506454630544602</x:v>
      </x:c>
      <x:c r="E14" s="140" t="str">
        <x:v>8/9</x:v>
      </x:c>
      <x:c r="F14" s="140" t="str">
        <x:v>POI Evidence Pack / Site Proof</x:v>
      </x:c>
      <x:c r="G14" s="140" t="str">
        <x:v>Obra y montaje convertidos en dato contractual verificable.</x:v>
      </x:c>
      <x:c r="H14" s="141" t="str">
        <x:v>Productizacion CUEVA OS.</x:v>
      </x:c>
    </x:row>
    <x:row r="15" ht="34" customHeight="1">
      <x:c r="A15" s="142" t="str">
        <x:v>Activos digitales / tokenizacion</x:v>
      </x:c>
      <x:c r="B15" s="140" t="str">
        <x:v>2023-act.</x:v>
      </x:c>
      <x:c r="C15" s="149" t="n">
        <x:v>260000</x:v>
      </x:c>
      <x:c r="D15" s="151" t="n">
        <x:f>C15/$C$21</x:f>
        <x:v>0.06166727389166298</x:v>
      </x:c>
      <x:c r="E15" s="140" t="str">
        <x:v>6/7</x:v>
      </x:c>
      <x:c r="F15" s="140" t="str">
        <x:v>Financial Layer / activos digitales</x:v>
      </x:c>
      <x:c r="G15" s="140" t="str">
        <x:v>Extension hacia financiacion, propiedad digital y economia de plataforma.</x:v>
      </x:c>
      <x:c r="H15" s="141" t="str">
        <x:v>White paper blockchain/NFT.</x:v>
      </x:c>
    </x:row>
    <x:row r="16" ht="34" customHeight="1">
      <x:c r="A16" s="142" t="str">
        <x:v>Designer + vivienda generativa</x:v>
      </x:c>
      <x:c r="B16" s="140" t="str">
        <x:v>2023-act.</x:v>
      </x:c>
      <x:c r="C16" s="149" t="n">
        <x:v>255000</x:v>
      </x:c>
      <x:c r="D16" s="151" t="n">
        <x:f>C16/$C$21</x:f>
        <x:v>0.06048136477836177</x:v>
      </x:c>
      <x:c r="E16" s="140" t="str">
        <x:v>8/9</x:v>
      </x:c>
      <x:c r="F16" s="140" t="str">
        <x:v>CUEVA Designer</x:v>
      </x:c>
      <x:c r="G16" s="140" t="str">
        <x:v>Generacion automatizada de alternativas de proyecto via API.</x:v>
      </x:c>
      <x:c r="H16" s="141" t="str">
        <x:v>Documento vivienda generativa.</x:v>
      </x:c>
    </x:row>
    <x:row r="17" ht="34" customHeight="1">
      <x:c r="A17" s="142" t="str">
        <x:v>GIS + capa territorial</x:v>
      </x:c>
      <x:c r="B17" s="140" t="str">
        <x:v>2023-act.</x:v>
      </x:c>
      <x:c r="C17" s="149" t="n">
        <x:v>150000</x:v>
      </x:c>
      <x:c r="D17" s="151" t="n">
        <x:f>C17/$C$21</x:f>
        <x:v>0.03557727339903633</x:v>
      </x:c>
      <x:c r="E17" s="140" t="str">
        <x:v>8/9</x:v>
      </x:c>
      <x:c r="F17" s="140" t="str">
        <x:v>GIS / red de activos</x:v>
      </x:c>
      <x:c r="G17" s="140" t="str">
        <x:v>De proyecto aislado a red de activos geolocalizados.</x:v>
      </x:c>
      <x:c r="H17" s="141" t="str">
        <x:v>Productizacion CUEVA OS.</x:v>
      </x:c>
    </x:row>
    <x:row r="18" ht="34" customHeight="1">
      <x:c r="A18" s="142" t="str">
        <x:v>Manager + Project Room</x:v>
      </x:c>
      <x:c r="B18" s="140" t="str">
        <x:v>2023-act.</x:v>
      </x:c>
      <x:c r="C18" s="149" t="n">
        <x:v>210000</x:v>
      </x:c>
      <x:c r="D18" s="151" t="n">
        <x:f>C18/$C$21</x:f>
        <x:v>0.049808182758650864</x:v>
      </x:c>
      <x:c r="E18" s="140" t="str">
        <x:v>8/9</x:v>
      </x:c>
      <x:c r="F18" s="140" t="str">
        <x:v>CUEVA Manager / Project Room</x:v>
      </x:c>
      <x:c r="G18" s="140" t="str">
        <x:v>Punto de entrada para actores externos; lectura SaaS operativa.</x:v>
      </x:c>
      <x:c r="H18" s="141" t="str">
        <x:v>Productizacion CUEVA OS.</x:v>
      </x:c>
    </x:row>
    <x:row r="19" ht="34" customHeight="1">
      <x:c r="A19" s="142" t="str">
        <x:v>Neuronas + apps de lectura</x:v>
      </x:c>
      <x:c r="B19" s="140" t="str">
        <x:v>2023-act.</x:v>
      </x:c>
      <x:c r="C19" s="149" t="n">
        <x:v>170000</x:v>
      </x:c>
      <x:c r="D19" s="151" t="n">
        <x:f>C19/$C$21</x:f>
        <x:v>0.040320909852241175</x:v>
      </x:c>
      <x:c r="E19" s="140" t="str">
        <x:v>8/9</x:v>
      </x:c>
      <x:c r="F19" s="140" t="str">
        <x:v>Apps lectura / neuronas fijas y portatiles</x:v>
      </x:c>
      <x:c r="G19" s="140" t="str">
        <x:v>Sin captura fiable no hay evidencia fiable.</x:v>
      </x:c>
      <x:c r="H19" s="141" t="str">
        <x:v>Software, comunicaciones y campo.</x:v>
      </x:c>
    </x:row>
    <x:row r="20" ht="34" customHeight="1">
      <x:c r="A20" s="142" t="str">
        <x:v>Market OS + activos comerciales</x:v>
      </x:c>
      <x:c r="B20" s="140" t="str">
        <x:v>2023-act.</x:v>
      </x:c>
      <x:c r="C20" s="149" t="n">
        <x:v>214999.7</x:v>
      </x:c>
      <x:c r="D20" s="151" t="n">
        <x:f>C20/$C$21</x:f>
        <x:v>0.05099402071740528</x:v>
      </x:c>
      <x:c r="E20" s="140" t="str">
        <x:v>8/9</x:v>
      </x:c>
      <x:c r="F20" s="140" t="str">
        <x:v>Market OS / web / marca / materiales comerciales</x:v>
      </x:c>
      <x:c r="G20" s="140" t="str">
        <x:v>Convierte la inversion tecnica en lenguaje de mercado.</x:v>
      </x:c>
      <x:c r="H20" s="141" t="str">
        <x:v>Marketing, marca y documentacion inversor.</x:v>
      </x:c>
    </x:row>
    <x:row r="21" ht="34" customHeight="1">
      <x:c r="A21" s="138" t="str">
        <x:v>TOTAL INVERSION 4,2M</x:v>
      </x:c>
      <x:c r="B21" s="139" t="str"/>
      <x:c r="C21" s="139" t="n">
        <x:f>SUM(C6:C20)</x:f>
        <x:v>4216174.7</x:v>
      </x:c>
      <x:c r="D21" s="139" t="n">
        <x:f>SUM(D6:D20)</x:f>
        <x:v>1</x:v>
      </x:c>
      <x:c r="E21" s="139"/>
      <x:c r="F21" s="139"/>
      <x:c r="G21" s="139"/>
      <x:c r="H21" s="150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3"/>
      <x:c r="B60" s="14"/>
      <x:c r="C60" s="14"/>
      <x:c r="D60" s="14"/>
      <x:c r="E60" s="14"/>
      <x:c r="F60" s="14"/>
      <x:c r="G60" s="14"/>
      <x:c r="H60" s="15"/>
    </x:row>
    <x:row r="61">
      <x:c r="A61" s="13"/>
      <x:c r="B61" s="14"/>
      <x:c r="C61" s="14"/>
      <x:c r="D61" s="14"/>
      <x:c r="E61" s="14"/>
      <x:c r="F61" s="14"/>
      <x:c r="G61" s="14"/>
      <x:c r="H61" s="15"/>
    </x:row>
    <x:row r="62">
      <x:c r="A62" s="13"/>
      <x:c r="B62" s="14"/>
      <x:c r="C62" s="14"/>
      <x:c r="D62" s="14"/>
      <x:c r="E62" s="14"/>
      <x:c r="F62" s="14"/>
      <x:c r="G62" s="14"/>
      <x:c r="H62" s="15"/>
    </x:row>
    <x:row r="63">
      <x:c r="A63" s="13"/>
      <x:c r="B63" s="14"/>
      <x:c r="C63" s="14"/>
      <x:c r="D63" s="14"/>
      <x:c r="E63" s="14"/>
      <x:c r="F63" s="14"/>
      <x:c r="G63" s="14"/>
      <x:c r="H63" s="15"/>
    </x:row>
    <x:row r="64">
      <x:c r="A64" s="13"/>
      <x:c r="B64" s="14"/>
      <x:c r="C64" s="14"/>
      <x:c r="D64" s="14"/>
      <x:c r="E64" s="14"/>
      <x:c r="F64" s="14"/>
      <x:c r="G64" s="14"/>
      <x:c r="H64" s="15"/>
    </x:row>
    <x:row r="65">
      <x:c r="A65" s="13"/>
      <x:c r="B65" s="14"/>
      <x:c r="C65" s="14"/>
      <x:c r="D65" s="14"/>
      <x:c r="E65" s="14"/>
      <x:c r="F65" s="14"/>
      <x:c r="G65" s="14"/>
      <x:c r="H65" s="15"/>
    </x:row>
    <x:row r="66">
      <x:c r="A66" s="13"/>
      <x:c r="B66" s="14"/>
      <x:c r="C66" s="14"/>
      <x:c r="D66" s="14"/>
      <x:c r="E66" s="14"/>
      <x:c r="F66" s="14"/>
      <x:c r="G66" s="14"/>
      <x:c r="H66" s="15"/>
    </x:row>
    <x:row r="67">
      <x:c r="A67" s="13"/>
      <x:c r="B67" s="14"/>
      <x:c r="C67" s="14"/>
      <x:c r="D67" s="14"/>
      <x:c r="E67" s="14"/>
      <x:c r="F67" s="14"/>
      <x:c r="G67" s="14"/>
      <x:c r="H67" s="15"/>
    </x:row>
    <x:row r="68">
      <x:c r="A68" s="13"/>
      <x:c r="B68" s="14"/>
      <x:c r="C68" s="14"/>
      <x:c r="D68" s="14"/>
      <x:c r="E68" s="14"/>
      <x:c r="F68" s="14"/>
      <x:c r="G68" s="14"/>
      <x:c r="H68" s="15"/>
    </x:row>
    <x:row r="69">
      <x:c r="A69" s="13"/>
      <x:c r="B69" s="14"/>
      <x:c r="C69" s="14"/>
      <x:c r="D69" s="14"/>
      <x:c r="E69" s="14"/>
      <x:c r="F69" s="14"/>
      <x:c r="G69" s="14"/>
      <x:c r="H69" s="15"/>
    </x:row>
    <x:row r="70">
      <x:c r="A70" s="16"/>
      <x:c r="B70" s="17"/>
      <x:c r="C70" s="17"/>
      <x:c r="D70" s="17"/>
      <x:c r="E70" s="17"/>
      <x:c r="F70" s="17"/>
      <x:c r="G70" s="17"/>
      <x:c r="H70" s="18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</x:cols>
  <x:sheetData>
    <x:row r="1">
      <x:c r="A1" s="107" t="str">
        <x:v>13 300K Resumen</x:v>
      </x:c>
      <x:c r="B1" s="108" t="str"/>
      <x:c r="C1" s="108" t="str"/>
      <x:c r="D1" s="109" t="str"/>
      <x:c r="E1" s="109" t="str"/>
      <x:c r="F1" s="109" t="str"/>
      <x:c r="G1" s="109" t="str"/>
      <x:c r="H1" s="110" t="str"/>
    </x:row>
    <x:row r="2">
      <x:c r="A2" s="111" t="str">
        <x:v>Plan 26/27 de 300K separado del plan 2030. Sirve para reducir riesgo, no para mezclarlo con el scale case.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Indicador</x:v>
      </x:c>
      <x:c r="B5" s="115" t="str">
        <x:v>Valor</x:v>
      </x:c>
      <x:c r="C5" s="115" t="str">
        <x:v>Unidad</x:v>
      </x:c>
      <x:c r="D5" s="115" t="str">
        <x:v>Lectura</x:v>
      </x:c>
      <x:c r="E5" s="115" t="str">
        <x:v>Hoja soporte</x:v>
      </x:c>
      <x:c r="F5" s="115" t="str">
        <x:v>Gate / criterio</x:v>
      </x:c>
      <x:c r="G5" s="14"/>
      <x:c r="H5" s="15"/>
    </x:row>
    <x:row r="6" ht="32" customHeight="1">
      <x:c r="A6" s="138" t="str">
        <x:v>Capital plan 26/27</x:v>
      </x:c>
      <x:c r="B6" s="139" t="n">
        <x:v>300000</x:v>
      </x:c>
      <x:c r="C6" s="139" t="str">
        <x:v>EUR</x:v>
      </x:c>
      <x:c r="D6" s="139" t="str">
        <x:v>Financia saneamiento, producto, equipo y salida comercial</x:v>
      </x:c>
      <x:c r="E6" s="139" t="str">
        <x:v>14_300K_Uso_Fondos</x:v>
      </x:c>
      <x:c r="F6" s="139" t="str">
        <x:v>Desembolso por gates.</x:v>
      </x:c>
      <x:c r="G6" s="140"/>
      <x:c r="H6" s="141"/>
    </x:row>
    <x:row r="7" ht="32" customHeight="1">
      <x:c r="A7" s="138" t="str">
        <x:v>Uso de fondos detallado</x:v>
      </x:c>
      <x:c r="B7" s="139" t="n">
        <x:f>'14_300K_Uso_Fondos'!B13</x:f>
        <x:v>300000</x:v>
      </x:c>
      <x:c r="C7" s="139" t="str">
        <x:v>EUR</x:v>
      </x:c>
      <x:c r="D7" s="139" t="str">
        <x:v>Suma de bloques del plan</x:v>
      </x:c>
      <x:c r="E7" s="139" t="str">
        <x:v>14_300K_Uso_Fondos</x:v>
      </x:c>
      <x:c r="F7" s="139" t="str">
        <x:v>Debe sumar 300K.</x:v>
      </x:c>
      <x:c r="G7" s="140"/>
      <x:c r="H7" s="141"/>
    </x:row>
    <x:row r="8" ht="32" customHeight="1">
      <x:c r="A8" s="142" t="str">
        <x:v>Revenue 2027 management</x:v>
      </x:c>
      <x:c r="B8" s="149" t="n">
        <x:v>1670000</x:v>
      </x:c>
      <x:c r="C8" s="140" t="str">
        <x:v>EUR</x:v>
      </x:c>
      <x:c r="D8" s="140" t="str">
        <x:v>Pipeline base 2027 ajustado</x:v>
      </x:c>
      <x:c r="E8" s="140" t="str">
        <x:v>15_300K_Pipeline_2027</x:v>
      </x:c>
      <x:c r="F8" s="140" t="str">
        <x:v>Reconocer solo con contrato/cobro/m2 verificado.</x:v>
      </x:c>
      <x:c r="G8" s="140"/>
      <x:c r="H8" s="141"/>
    </x:row>
    <x:row r="9" ht="32" customHeight="1">
      <x:c r="A9" s="142" t="str">
        <x:v>Revenue 2027 ponderado</x:v>
      </x:c>
      <x:c r="B9" s="149" t="n">
        <x:v>1104000</x:v>
      </x:c>
      <x:c r="C9" s="140" t="str">
        <x:v>EUR</x:v>
      </x:c>
      <x:c r="D9" s="140" t="str">
        <x:v>Lectura risk-adjusted</x:v>
      </x:c>
      <x:c r="E9" s="140" t="str">
        <x:v>15_300K_Pipeline_2027</x:v>
      </x:c>
      <x:c r="F9" s="140" t="str">
        <x:v>Probabilidad por proyecto.</x:v>
      </x:c>
      <x:c r="G9" s="140"/>
      <x:c r="H9" s="141"/>
    </x:row>
    <x:row r="10" ht="32" customHeight="1">
      <x:c r="A10" s="142" t="str">
        <x:v>EBITDA 2027 management</x:v>
      </x:c>
      <x:c r="B10" s="149" t="n">
        <x:v>313999</x:v>
      </x:c>
      <x:c r="C10" s="140" t="str">
        <x:v>EUR</x:v>
      </x:c>
      <x:c r="D10" s="140" t="str">
        <x:v>Contribucion por linea menos OPEX del plan 300K</x:v>
      </x:c>
      <x:c r="E10" s="140" t="str">
        <x:v>Modelo financiero base</x:v>
      </x:c>
      <x:c r="F10" s="140" t="str">
        <x:v>Controlar contratacion y caja.</x:v>
      </x:c>
      <x:c r="G10" s="140"/>
      <x:c r="H10" s="141"/>
    </x:row>
    <x:row r="11" ht="32" customHeight="1">
      <x:c r="A11" s="142" t="str">
        <x:v>EBITDA 2027 ponderado</x:v>
      </x:c>
      <x:c r="B11" s="149" t="n">
        <x:v>11039</x:v>
      </x:c>
      <x:c r="C11" s="140" t="str">
        <x:v>EUR</x:v>
      </x:c>
      <x:c r="D11" s="140" t="str">
        <x:v>Lectura prudente del EBITDA</x:v>
      </x:c>
      <x:c r="E11" s="140" t="str">
        <x:v>Modelo financiero base</x:v>
      </x:c>
      <x:c r="F11" s="140" t="str">
        <x:v>Proteger con gates.</x:v>
      </x:c>
      <x:c r="G11" s="140"/>
      <x:c r="H11" s="141"/>
    </x:row>
    <x:row r="12" ht="32" customHeight="1">
      <x:c r="A12" s="142" t="str">
        <x:v>Caja final management</x:v>
      </x:c>
      <x:c r="B12" s="149" t="n">
        <x:v>327599</x:v>
      </x:c>
      <x:c r="C12" s="140" t="str">
        <x:v>EUR</x:v>
      </x:c>
      <x:c r="D12" s="140" t="str">
        <x:v>Caja al cierre de 2027</x:v>
      </x:c>
      <x:c r="E12" s="140" t="str">
        <x:v>Modelo financiero base</x:v>
      </x:c>
      <x:c r="F12" s="140" t="str">
        <x:v>Cobros por hitos.</x:v>
      </x:c>
      <x:c r="G12" s="140"/>
      <x:c r="H12" s="141"/>
    </x:row>
    <x:row r="13" ht="32" customHeight="1">
      <x:c r="A13" s="142" t="str">
        <x:v>Caja final ponderada</x:v>
      </x:c>
      <x:c r="B13" s="149" t="n">
        <x:v>24639</x:v>
      </x:c>
      <x:c r="C13" s="140" t="str">
        <x:v>EUR</x:v>
      </x:c>
      <x:c r="D13" s="140" t="str">
        <x:v>Lectura prudente de caja</x:v>
      </x:c>
      <x:c r="E13" s="140" t="str">
        <x:v>Modelo financiero base</x:v>
      </x:c>
      <x:c r="F13" s="140" t="str">
        <x:v>No activar coste sin evidencia.</x:v>
      </x:c>
      <x:c r="G13" s="140"/>
      <x:c r="H13" s="141"/>
    </x:row>
    <x:row r="14" ht="32" customHeight="1">
      <x:c r="A14" s="142" t="str">
        <x:v>m2 plan minimo</x:v>
      </x:c>
      <x:c r="B14" s="152" t="n">
        <x:v>52000</x:v>
      </x:c>
      <x:c r="C14" s="140" t="str">
        <x:v>m2</x:v>
      </x:c>
      <x:c r="D14" s="140" t="str">
        <x:v>m2 ejecutados elegibles del plan 300K</x:v>
      </x:c>
      <x:c r="E14" s="140" t="str">
        <x:v>16_300K_Puente_Escala</x:v>
      </x:c>
      <x:c r="F14" s="140" t="str">
        <x:v>Base de fee fabricante + montaje.</x:v>
      </x:c>
      <x:c r="G14" s="140"/>
      <x:c r="H14" s="141"/>
    </x:row>
    <x:row r="15" ht="32" customHeight="1">
      <x:c r="A15" s="142" t="str">
        <x:v>Regla de separacion</x:v>
      </x:c>
      <x:c r="B15" s="140" t="str">
        <x:v>Independiente del scale case</x:v>
      </x:c>
      <x:c r="C15" s="140" t="str">
        <x:v>texto</x:v>
      </x:c>
      <x:c r="D15" s="140" t="str">
        <x:v>El 300K compra reduccion de riesgo y prueba comercial; el plan 2030 es otra capa condicionada.</x:v>
      </x:c>
      <x:c r="E15" s="140" t="str">
        <x:v>Estructura separada</x:v>
      </x:c>
      <x:c r="F15" s="140" t="str">
        <x:v>No mezclar con OPEX/ingresos 2030.</x:v>
      </x:c>
      <x:c r="G15" s="140"/>
      <x:c r="H15" s="141"/>
    </x:row>
    <x:row r="16" ht="32" customHeight="1">
      <x:c r="A16" s="142"/>
      <x:c r="B16" s="140"/>
      <x:c r="C16" s="140"/>
      <x:c r="D16" s="140"/>
      <x:c r="E16" s="140"/>
      <x:c r="F16" s="140"/>
      <x:c r="G16" s="140"/>
      <x:c r="H16" s="141"/>
    </x:row>
    <x:row r="17" ht="32" customHeight="1">
      <x:c r="A17" s="142"/>
      <x:c r="B17" s="140"/>
      <x:c r="C17" s="140"/>
      <x:c r="D17" s="140"/>
      <x:c r="E17" s="140"/>
      <x:c r="F17" s="140"/>
      <x:c r="G17" s="140"/>
      <x:c r="H17" s="141"/>
    </x:row>
    <x:row r="18" ht="32" customHeight="1">
      <x:c r="A18" s="143" t="str">
        <x:v>Lectura ejecutiva del 300K</x:v>
      </x:c>
      <x:c r="B18" s="144" t="str"/>
      <x:c r="C18" s="144" t="str"/>
      <x:c r="D18" s="144" t="str"/>
      <x:c r="E18" s="144" t="str"/>
      <x:c r="F18" s="144" t="str"/>
      <x:c r="G18" s="144" t="str"/>
      <x:c r="H18" s="145" t="str"/>
    </x:row>
    <x:row r="19" ht="32" customHeight="1">
      <x:c r="A19" s="153" t="str">
        <x:v>Que compra</x:v>
      </x:c>
      <x:c r="B19" s="140" t="str">
        <x:v>Continuidad, producto vendible, hub, primeras pruebas de red, carpeta documental y control de caja.</x:v>
      </x:c>
      <x:c r="C19" s="140" t="str"/>
      <x:c r="D19" s="140" t="str"/>
      <x:c r="E19" s="140" t="str"/>
      <x:c r="F19" s="140" t="str"/>
      <x:c r="G19" s="140" t="str"/>
      <x:c r="H19" s="141" t="str"/>
    </x:row>
    <x:row r="20" ht="32" customHeight="1">
      <x:c r="A20" s="153" t="str">
        <x:v>Que demuestra</x:v>
      </x:c>
      <x:c r="B20" s="140" t="str">
        <x:v>Contratos, cobros, m2 verificados, casos POI/DPP, partner piloto y margen por linea.</x:v>
      </x:c>
      <x:c r="C20" s="140" t="str"/>
      <x:c r="D20" s="140" t="str"/>
      <x:c r="E20" s="140" t="str"/>
      <x:c r="F20" s="140" t="str"/>
      <x:c r="G20" s="140" t="str"/>
      <x:c r="H20" s="141" t="str"/>
    </x:row>
    <x:row r="21" ht="32" customHeight="1">
      <x:c r="A21" s="153" t="str">
        <x:v>Que no compra</x:v>
      </x:c>
      <x:c r="B21" s="140" t="str">
        <x:v>No compra el scale case 2030 completo ni la estructura de crecimiento acelerado.</x:v>
      </x:c>
      <x:c r="C21" s="140" t="str"/>
      <x:c r="D21" s="140" t="str"/>
      <x:c r="E21" s="140" t="str"/>
      <x:c r="F21" s="140" t="str"/>
      <x:c r="G21" s="140" t="str"/>
      <x:c r="H21" s="141" t="str"/>
    </x:row>
    <x:row r="22" ht="32" customHeight="1">
      <x:c r="A22" s="153" t="str">
        <x:v>Criterio de avance</x:v>
      </x:c>
      <x:c r="B22" s="140" t="str">
        <x:v>Liberar coste solo por gates: contrato, anticipo, alcance, m2 verificado, POI/DPP aceptado y soporte operativo.</x:v>
      </x:c>
      <x:c r="C22" s="140" t="str"/>
      <x:c r="D22" s="140" t="str"/>
      <x:c r="E22" s="140" t="str"/>
      <x:c r="F22" s="140" t="str"/>
      <x:c r="G22" s="140" t="str"/>
      <x:c r="H22" s="141" t="str"/>
    </x:row>
    <x:row r="23" ht="32" customHeight="1">
      <x:c r="A23" s="142" t="str"/>
      <x:c r="B23" s="140" t="str"/>
      <x:c r="C23" s="140" t="str"/>
      <x:c r="D23" s="140" t="str"/>
      <x:c r="E23" s="140" t="str"/>
      <x:c r="F23" s="140" t="str"/>
      <x:c r="G23" s="140" t="str"/>
      <x:c r="H23" s="141" t="str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6"/>
      <x:c r="B60" s="17"/>
      <x:c r="C60" s="17"/>
      <x:c r="D60" s="17"/>
      <x:c r="E60" s="17"/>
      <x:c r="F60" s="17"/>
      <x:c r="G60" s="17"/>
      <x:c r="H60" s="18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8" hidden="0" customWidth="1"/>
  </x:cols>
  <x:sheetData>
    <x:row r="1">
      <x:c r="A1" s="107" t="str">
        <x:v>14 300K Uso de fondos</x:v>
      </x:c>
      <x:c r="B1" s="108" t="str"/>
      <x:c r="C1" s="108" t="str"/>
      <x:c r="D1" s="109" t="str"/>
      <x:c r="E1" s="109" t="str"/>
      <x:c r="F1" s="109" t="str"/>
      <x:c r="G1" s="109" t="str"/>
      <x:c r="H1" s="120"/>
    </x:row>
    <x:row r="2">
      <x:c r="A2" s="111" t="str">
        <x:v>Uso de los 300.000 EUR y gates de liberacion. Bloque separado del plan 2030.</x:v>
      </x:c>
      <x:c r="B2" s="112" t="str"/>
      <x:c r="C2" s="112" t="str"/>
      <x:c r="D2" s="112" t="str"/>
      <x:c r="E2" s="112" t="str"/>
      <x:c r="F2" s="112" t="str"/>
      <x:c r="G2" s="112" t="str"/>
      <x:c r="H2" s="122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22"/>
    </x:row>
    <x:row r="4">
      <x:c r="A4" s="13"/>
      <x:c r="B4" s="14"/>
      <x:c r="C4" s="14"/>
      <x:c r="D4" s="14"/>
      <x:c r="E4" s="14"/>
      <x:c r="F4" s="14"/>
      <x:c r="G4" s="14"/>
      <x:c r="H4" s="122"/>
    </x:row>
    <x:row r="5">
      <x:c r="A5" s="114" t="str">
        <x:v>Bloque</x:v>
      </x:c>
      <x:c r="B5" s="115" t="str">
        <x:v>Importe</x:v>
      </x:c>
      <x:c r="C5" s="115" t="str">
        <x:v>% total</x:v>
      </x:c>
      <x:c r="D5" s="115" t="str">
        <x:v>Objetivo</x:v>
      </x:c>
      <x:c r="E5" s="115" t="str">
        <x:v>Gate</x:v>
      </x:c>
      <x:c r="F5" s="115" t="str">
        <x:v>Tipo</x:v>
      </x:c>
      <x:c r="G5" s="115" t="str">
        <x:v>Notas</x:v>
      </x:c>
      <x:c r="H5" s="122"/>
    </x:row>
    <x:row r="6" ht="34" customHeight="1">
      <x:c r="A6" s="142" t="str">
        <x:v>Equipo base julio-diciembre 2026</x:v>
      </x:c>
      <x:c r="B6" s="149" t="n">
        <x:v>114600</x:v>
      </x:c>
      <x:c r="C6" s="151" t="n">
        <x:f>B6/$B$13</x:f>
        <x:v>0.382</x:v>
      </x:c>
      <x:c r="D6" s="140" t="str">
        <x:v>Continuidad directiva, producto, operaciones y comercial</x:v>
      </x:c>
      <x:c r="E6" s="140" t="str">
        <x:v>Calendario mensual y roles definidos</x:v>
      </x:c>
      <x:c r="F6" s="140" t="str">
        <x:v>Equipo</x:v>
      </x:c>
      <x:c r="G6" s="140" t="str">
        <x:v>Asegura continuidad y ejecucion.</x:v>
      </x:c>
      <x:c r="H6" s="122"/>
    </x:row>
    <x:row r="7" ht="34" customHeight="1">
      <x:c r="A7" s="142" t="str">
        <x:v>Seguridad Social / cumplimiento laboral</x:v>
      </x:c>
      <x:c r="B7" s="149" t="n">
        <x:v>18000</x:v>
      </x:c>
      <x:c r="C7" s="151" t="n">
        <x:f>B7/$B$13</x:f>
        <x:v>0.06</x:v>
      </x:c>
      <x:c r="D7" s="140" t="str">
        <x:v>Provisiones laborales y regularizacion</x:v>
      </x:c>
      <x:c r="E7" s="140" t="str">
        <x:v>Contrataciones formalizadas</x:v>
      </x:c>
      <x:c r="F7" s="140" t="str">
        <x:v>Cumplimiento</x:v>
      </x:c>
      <x:c r="G7" s="140" t="str">
        <x:v>Evita arrastre operativo.</x:v>
      </x:c>
      <x:c r="H7" s="122"/>
    </x:row>
    <x:row r="8" ht="34" customHeight="1">
      <x:c r="A8" s="142" t="str">
        <x:v>Software / IT / telecom / IA</x:v>
      </x:c>
      <x:c r="B8" s="149" t="n">
        <x:v>78000</x:v>
      </x:c>
      <x:c r="C8" s="151" t="n">
        <x:f>B8/$B$13</x:f>
        <x:v>0.26</x:v>
      </x:c>
      <x:c r="D8" s="140" t="str">
        <x:v>CUEVA OS, DPP/POI, cloud, seguridad, demos y campo</x:v>
      </x:c>
      <x:c r="E8" s="140" t="str">
        <x:v>Compra por hitos y necesidad de proyecto</x:v>
      </x:c>
      <x:c r="F8" s="140" t="str">
        <x:v>Producto</x:v>
      </x:c>
      <x:c r="G8" s="140" t="str">
        <x:v>No sobredimensionar sin entregable.</x:v>
      </x:c>
      <x:c r="H8" s="122"/>
    </x:row>
    <x:row r="9" ht="34" customHeight="1">
      <x:c r="A9" s="142" t="str">
        <x:v>Marketing y comunicacion</x:v>
      </x:c>
      <x:c r="B9" s="149" t="n">
        <x:v>18000</x:v>
      </x:c>
      <x:c r="C9" s="151" t="n">
        <x:f>B9/$B$13</x:f>
        <x:v>0.06</x:v>
      </x:c>
      <x:c r="D9" s="140" t="str">
        <x:v>Web, deck, casos, CRM y lanzamiento</x:v>
      </x:c>
      <x:c r="E9" s="140" t="str">
        <x:v>Producto demo estable</x:v>
      </x:c>
      <x:c r="F9" s="140" t="str">
        <x:v>GTM</x:v>
      </x:c>
      <x:c r="G9" s="140" t="str">
        <x:v>Soporte comercial e inversor.</x:v>
      </x:c>
      <x:c r="H9" s="122"/>
    </x:row>
    <x:row r="10" ht="34" customHeight="1">
      <x:c r="A10" s="142" t="str">
        <x:v>Saneamiento deuda y cierres criticos</x:v>
      </x:c>
      <x:c r="B10" s="149" t="n">
        <x:v>43400</x:v>
      </x:c>
      <x:c r="C10" s="151" t="n">
        <x:f>B10/$B$13</x:f>
        <x:v>0.14466666666666667</x:v>
      </x:c>
      <x:c r="D10" s="140" t="str">
        <x:v>Medhi, Apellicer, Ferzohaus, Piedrahita y cierres menores</x:v>
      </x:c>
      <x:c r="E10" s="140" t="str">
        <x:v>Acuerdos firmados</x:v>
      </x:c>
      <x:c r="F10" s="140" t="str">
        <x:v>Saneamiento</x:v>
      </x:c>
      <x:c r="G10" s="140" t="str">
        <x:v>Reduce ruido y riesgo de ejecucion.</x:v>
      </x:c>
      <x:c r="H10" s="122"/>
    </x:row>
    <x:row r="11" ht="34" customHeight="1">
      <x:c r="A11" s="142" t="str">
        <x:v>Hub OADAC / Valeriano / showroom</x:v>
      </x:c>
      <x:c r="B11" s="149" t="n">
        <x:v>23000</x:v>
      </x:c>
      <x:c r="C11" s="151" t="n">
        <x:f>B11/$B$13</x:f>
        <x:v>0.07666666666666666</x:v>
      </x:c>
      <x:c r="D11" s="140" t="str">
        <x:v>Nodo Menorca fase 0-1 sin sobredimensionar</x:v>
      </x:c>
      <x:c r="E11" s="140" t="str">
        <x:v>Acuerdo Valeriano y layout definido</x:v>
      </x:c>
      <x:c r="F11" s="140" t="str">
        <x:v>Hub</x:v>
      </x:c>
      <x:c r="G11" s="140" t="str">
        <x:v>Demostrador operativo.</x:v>
      </x:c>
      <x:c r="H11" s="122"/>
    </x:row>
    <x:row r="12" ht="34" customHeight="1">
      <x:c r="A12" s="142" t="str">
        <x:v>Legal, auditoria, documentacion y contingencia</x:v>
      </x:c>
      <x:c r="B12" s="149" t="n">
        <x:v>5000</x:v>
      </x:c>
      <x:c r="C12" s="151" t="n">
        <x:f>B12/$B$13</x:f>
        <x:v>0.016666666666666666</x:v>
      </x:c>
      <x:c r="D12" s="140" t="str">
        <x:v>Blindaje documental y data room</x:v>
      </x:c>
      <x:c r="E12" s="140" t="str">
        <x:v>Checklist audit-ready</x:v>
      </x:c>
      <x:c r="F12" s="140" t="str">
        <x:v>Legal / contingencia</x:v>
      </x:c>
      <x:c r="G12" s="140" t="str">
        <x:v>Preparar siguientes conversaciones.</x:v>
      </x:c>
      <x:c r="H12" s="122"/>
    </x:row>
    <x:row r="13" ht="34" customHeight="1">
      <x:c r="A13" s="138" t="str">
        <x:v>TOTAL</x:v>
      </x:c>
      <x:c r="B13" s="139" t="n">
        <x:f>SUM(B6:B12)</x:f>
        <x:v>300000</x:v>
      </x:c>
      <x:c r="C13" s="139" t="n">
        <x:f>SUM(C6:C12)</x:f>
        <x:v>1</x:v>
      </x:c>
      <x:c r="D13" s="139"/>
      <x:c r="E13" s="139"/>
      <x:c r="F13" s="139"/>
      <x:c r="G13" s="139"/>
      <x:c r="H13" s="122"/>
    </x:row>
    <x:row r="14">
      <x:c r="A14" s="13"/>
      <x:c r="B14" s="14"/>
      <x:c r="C14" s="14"/>
      <x:c r="D14" s="14"/>
      <x:c r="E14" s="14"/>
      <x:c r="F14" s="14"/>
      <x:c r="G14" s="14"/>
      <x:c r="H14" s="122"/>
    </x:row>
    <x:row r="15">
      <x:c r="A15" s="13"/>
      <x:c r="B15" s="14"/>
      <x:c r="C15" s="14"/>
      <x:c r="D15" s="14"/>
      <x:c r="E15" s="14"/>
      <x:c r="F15" s="14"/>
      <x:c r="G15" s="14"/>
      <x:c r="H15" s="122"/>
    </x:row>
    <x:row r="16">
      <x:c r="A16" s="13"/>
      <x:c r="B16" s="14"/>
      <x:c r="C16" s="14"/>
      <x:c r="D16" s="14"/>
      <x:c r="E16" s="14"/>
      <x:c r="F16" s="14"/>
      <x:c r="G16" s="14"/>
      <x:c r="H16" s="122"/>
    </x:row>
    <x:row r="17">
      <x:c r="A17" s="13"/>
      <x:c r="B17" s="14"/>
      <x:c r="C17" s="14"/>
      <x:c r="D17" s="14"/>
      <x:c r="E17" s="14"/>
      <x:c r="F17" s="14"/>
      <x:c r="G17" s="14"/>
      <x:c r="H17" s="122"/>
    </x:row>
    <x:row r="18">
      <x:c r="A18" s="13"/>
      <x:c r="B18" s="14"/>
      <x:c r="C18" s="14"/>
      <x:c r="D18" s="14"/>
      <x:c r="E18" s="14"/>
      <x:c r="F18" s="14"/>
      <x:c r="G18" s="14"/>
      <x:c r="H18" s="122"/>
    </x:row>
    <x:row r="19">
      <x:c r="A19" s="13"/>
      <x:c r="B19" s="14"/>
      <x:c r="C19" s="14"/>
      <x:c r="D19" s="14"/>
      <x:c r="E19" s="14"/>
      <x:c r="F19" s="14"/>
      <x:c r="G19" s="14"/>
      <x:c r="H19" s="122"/>
    </x:row>
    <x:row r="20">
      <x:c r="A20" s="13"/>
      <x:c r="B20" s="14"/>
      <x:c r="C20" s="14"/>
      <x:c r="D20" s="14"/>
      <x:c r="E20" s="14"/>
      <x:c r="F20" s="14"/>
      <x:c r="G20" s="14"/>
      <x:c r="H20" s="122"/>
    </x:row>
    <x:row r="21">
      <x:c r="A21" s="13"/>
      <x:c r="B21" s="14"/>
      <x:c r="C21" s="14"/>
      <x:c r="D21" s="14"/>
      <x:c r="E21" s="14"/>
      <x:c r="F21" s="14"/>
      <x:c r="G21" s="14"/>
      <x:c r="H21" s="122"/>
    </x:row>
    <x:row r="22">
      <x:c r="A22" s="13"/>
      <x:c r="B22" s="14"/>
      <x:c r="C22" s="14"/>
      <x:c r="D22" s="14"/>
      <x:c r="E22" s="14"/>
      <x:c r="F22" s="14"/>
      <x:c r="G22" s="14"/>
      <x:c r="H22" s="122"/>
    </x:row>
    <x:row r="23">
      <x:c r="A23" s="13"/>
      <x:c r="B23" s="14"/>
      <x:c r="C23" s="14"/>
      <x:c r="D23" s="14"/>
      <x:c r="E23" s="14"/>
      <x:c r="F23" s="14"/>
      <x:c r="G23" s="14"/>
      <x:c r="H23" s="122"/>
    </x:row>
    <x:row r="24">
      <x:c r="A24" s="13"/>
      <x:c r="B24" s="14"/>
      <x:c r="C24" s="14"/>
      <x:c r="D24" s="14"/>
      <x:c r="E24" s="14"/>
      <x:c r="F24" s="14"/>
      <x:c r="G24" s="14"/>
      <x:c r="H24" s="122"/>
    </x:row>
    <x:row r="25">
      <x:c r="A25" s="13"/>
      <x:c r="B25" s="14"/>
      <x:c r="C25" s="14"/>
      <x:c r="D25" s="14"/>
      <x:c r="E25" s="14"/>
      <x:c r="F25" s="14"/>
      <x:c r="G25" s="14"/>
      <x:c r="H25" s="122"/>
    </x:row>
    <x:row r="26">
      <x:c r="A26" s="13"/>
      <x:c r="B26" s="14"/>
      <x:c r="C26" s="14"/>
      <x:c r="D26" s="14"/>
      <x:c r="E26" s="14"/>
      <x:c r="F26" s="14"/>
      <x:c r="G26" s="14"/>
      <x:c r="H26" s="122"/>
    </x:row>
    <x:row r="27">
      <x:c r="A27" s="13"/>
      <x:c r="B27" s="14"/>
      <x:c r="C27" s="14"/>
      <x:c r="D27" s="14"/>
      <x:c r="E27" s="14"/>
      <x:c r="F27" s="14"/>
      <x:c r="G27" s="14"/>
      <x:c r="H27" s="122"/>
    </x:row>
    <x:row r="28">
      <x:c r="A28" s="13"/>
      <x:c r="B28" s="14"/>
      <x:c r="C28" s="14"/>
      <x:c r="D28" s="14"/>
      <x:c r="E28" s="14"/>
      <x:c r="F28" s="14"/>
      <x:c r="G28" s="14"/>
      <x:c r="H28" s="122"/>
    </x:row>
    <x:row r="29">
      <x:c r="A29" s="13"/>
      <x:c r="B29" s="14"/>
      <x:c r="C29" s="14"/>
      <x:c r="D29" s="14"/>
      <x:c r="E29" s="14"/>
      <x:c r="F29" s="14"/>
      <x:c r="G29" s="14"/>
      <x:c r="H29" s="122"/>
    </x:row>
    <x:row r="30">
      <x:c r="A30" s="13"/>
      <x:c r="B30" s="14"/>
      <x:c r="C30" s="14"/>
      <x:c r="D30" s="14"/>
      <x:c r="E30" s="14"/>
      <x:c r="F30" s="14"/>
      <x:c r="G30" s="14"/>
      <x:c r="H30" s="122"/>
    </x:row>
    <x:row r="31">
      <x:c r="A31" s="13"/>
      <x:c r="B31" s="14"/>
      <x:c r="C31" s="14"/>
      <x:c r="D31" s="14"/>
      <x:c r="E31" s="14"/>
      <x:c r="F31" s="14"/>
      <x:c r="G31" s="14"/>
      <x:c r="H31" s="122"/>
    </x:row>
    <x:row r="32">
      <x:c r="A32" s="13"/>
      <x:c r="B32" s="14"/>
      <x:c r="C32" s="14"/>
      <x:c r="D32" s="14"/>
      <x:c r="E32" s="14"/>
      <x:c r="F32" s="14"/>
      <x:c r="G32" s="14"/>
      <x:c r="H32" s="122"/>
    </x:row>
    <x:row r="33">
      <x:c r="A33" s="13"/>
      <x:c r="B33" s="14"/>
      <x:c r="C33" s="14"/>
      <x:c r="D33" s="14"/>
      <x:c r="E33" s="14"/>
      <x:c r="F33" s="14"/>
      <x:c r="G33" s="14"/>
      <x:c r="H33" s="122"/>
    </x:row>
    <x:row r="34">
      <x:c r="A34" s="13"/>
      <x:c r="B34" s="14"/>
      <x:c r="C34" s="14"/>
      <x:c r="D34" s="14"/>
      <x:c r="E34" s="14"/>
      <x:c r="F34" s="14"/>
      <x:c r="G34" s="14"/>
      <x:c r="H34" s="122"/>
    </x:row>
    <x:row r="35">
      <x:c r="A35" s="13"/>
      <x:c r="B35" s="14"/>
      <x:c r="C35" s="14"/>
      <x:c r="D35" s="14"/>
      <x:c r="E35" s="14"/>
      <x:c r="F35" s="14"/>
      <x:c r="G35" s="14"/>
      <x:c r="H35" s="122"/>
    </x:row>
    <x:row r="36">
      <x:c r="A36" s="13"/>
      <x:c r="B36" s="14"/>
      <x:c r="C36" s="14"/>
      <x:c r="D36" s="14"/>
      <x:c r="E36" s="14"/>
      <x:c r="F36" s="14"/>
      <x:c r="G36" s="14"/>
      <x:c r="H36" s="122"/>
    </x:row>
    <x:row r="37">
      <x:c r="A37" s="13"/>
      <x:c r="B37" s="14"/>
      <x:c r="C37" s="14"/>
      <x:c r="D37" s="14"/>
      <x:c r="E37" s="14"/>
      <x:c r="F37" s="14"/>
      <x:c r="G37" s="14"/>
      <x:c r="H37" s="122"/>
    </x:row>
    <x:row r="38">
      <x:c r="A38" s="13"/>
      <x:c r="B38" s="14"/>
      <x:c r="C38" s="14"/>
      <x:c r="D38" s="14"/>
      <x:c r="E38" s="14"/>
      <x:c r="F38" s="14"/>
      <x:c r="G38" s="14"/>
      <x:c r="H38" s="122"/>
    </x:row>
    <x:row r="39">
      <x:c r="A39" s="13"/>
      <x:c r="B39" s="14"/>
      <x:c r="C39" s="14"/>
      <x:c r="D39" s="14"/>
      <x:c r="E39" s="14"/>
      <x:c r="F39" s="14"/>
      <x:c r="G39" s="14"/>
      <x:c r="H39" s="122"/>
    </x:row>
    <x:row r="40">
      <x:c r="A40" s="13"/>
      <x:c r="B40" s="14"/>
      <x:c r="C40" s="14"/>
      <x:c r="D40" s="14"/>
      <x:c r="E40" s="14"/>
      <x:c r="F40" s="14"/>
      <x:c r="G40" s="14"/>
      <x:c r="H40" s="122"/>
    </x:row>
    <x:row r="41">
      <x:c r="A41" s="13"/>
      <x:c r="B41" s="14"/>
      <x:c r="C41" s="14"/>
      <x:c r="D41" s="14"/>
      <x:c r="E41" s="14"/>
      <x:c r="F41" s="14"/>
      <x:c r="G41" s="14"/>
      <x:c r="H41" s="122"/>
    </x:row>
    <x:row r="42">
      <x:c r="A42" s="13"/>
      <x:c r="B42" s="14"/>
      <x:c r="C42" s="14"/>
      <x:c r="D42" s="14"/>
      <x:c r="E42" s="14"/>
      <x:c r="F42" s="14"/>
      <x:c r="G42" s="14"/>
      <x:c r="H42" s="122"/>
    </x:row>
    <x:row r="43">
      <x:c r="A43" s="13"/>
      <x:c r="B43" s="14"/>
      <x:c r="C43" s="14"/>
      <x:c r="D43" s="14"/>
      <x:c r="E43" s="14"/>
      <x:c r="F43" s="14"/>
      <x:c r="G43" s="14"/>
      <x:c r="H43" s="122"/>
    </x:row>
    <x:row r="44">
      <x:c r="A44" s="13"/>
      <x:c r="B44" s="14"/>
      <x:c r="C44" s="14"/>
      <x:c r="D44" s="14"/>
      <x:c r="E44" s="14"/>
      <x:c r="F44" s="14"/>
      <x:c r="G44" s="14"/>
      <x:c r="H44" s="122"/>
    </x:row>
    <x:row r="45">
      <x:c r="A45" s="16"/>
      <x:c r="B45" s="17"/>
      <x:c r="C45" s="17"/>
      <x:c r="D45" s="17"/>
      <x:c r="E45" s="17"/>
      <x:c r="F45" s="17"/>
      <x:c r="G45" s="17"/>
      <x:c r="H45" s="128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4" hidden="0" customWidth="1"/>
    <x:col min="14" max="14" width="34" hidden="0" customWidth="1"/>
    <x:col min="15" max="15" width="34" hidden="0" customWidth="1"/>
  </x:cols>
  <x:sheetData>
    <x:row r="1">
      <x:c r="A1" s="107" t="str">
        <x:v>15 300K Pipeline 2027</x:v>
      </x:c>
      <x:c r="B1" s="108" t="str"/>
      <x:c r="C1" s="108" t="str"/>
      <x:c r="D1" s="108" t="str"/>
      <x:c r="E1" s="108" t="str"/>
      <x:c r="F1" s="109" t="str"/>
      <x:c r="G1" s="109" t="str"/>
      <x:c r="H1" s="109" t="str"/>
      <x:c r="I1" s="108" t="str"/>
      <x:c r="J1" s="108" t="str"/>
      <x:c r="K1" s="108" t="str"/>
      <x:c r="L1" s="108" t="str"/>
      <x:c r="M1" s="109" t="str"/>
      <x:c r="N1" s="109" t="str"/>
      <x:c r="O1" s="110" t="str"/>
    </x:row>
    <x:row r="2">
      <x:c r="A2" s="111" t="str">
        <x:v>Pipeline 2027 del plan 300K: management case, ponderacion de riesgo y evidencia para reconocer ingresos.</x:v>
      </x:c>
      <x:c r="B2" s="112" t="str"/>
      <x:c r="C2" s="112" t="str"/>
      <x:c r="D2" s="112" t="str"/>
      <x:c r="E2" s="112" t="str"/>
      <x:c r="F2" s="112" t="str"/>
      <x:c r="G2" s="112" t="str"/>
      <x:c r="H2" s="112" t="str"/>
      <x:c r="I2" s="112" t="str"/>
      <x:c r="J2" s="112" t="str"/>
      <x:c r="K2" s="112" t="str"/>
      <x:c r="L2" s="112" t="str"/>
      <x:c r="M2" s="112" t="str"/>
      <x:c r="N2" s="112" t="str"/>
      <x:c r="O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5" t="str"/>
    </x:row>
    <x:row r="4">
      <x:c r="A4" s="13"/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5"/>
    </x:row>
    <x:row r="5">
      <x:c r="A5" s="114" t="str">
        <x:v>Proyecto</x:v>
      </x:c>
      <x:c r="B5" s="115" t="str">
        <x:v>Tipo</x:v>
      </x:c>
      <x:c r="C5" s="115" t="str">
        <x:v>Base 2027</x:v>
      </x:c>
      <x:c r="D5" s="115" t="str">
        <x:v>Probabilidad</x:v>
      </x:c>
      <x:c r="E5" s="115" t="str">
        <x:v>Ponderado</x:v>
      </x:c>
      <x:c r="F5" s="115" t="str">
        <x:v>GM</x:v>
      </x:c>
      <x:c r="G5" s="115" t="str">
        <x:v>Contribucion base</x:v>
      </x:c>
      <x:c r="H5" s="115" t="str">
        <x:v>Contribucion ponderada</x:v>
      </x:c>
      <x:c r="I5" s="115" t="str">
        <x:v>Inicio</x:v>
      </x:c>
      <x:c r="J5" s="115" t="str">
        <x:v>Fin</x:v>
      </x:c>
      <x:c r="K5" s="115" t="str">
        <x:v>Responsable</x:v>
      </x:c>
      <x:c r="L5" s="115" t="str">
        <x:v>Contraparte</x:v>
      </x:c>
      <x:c r="M5" s="115" t="str">
        <x:v>Gate</x:v>
      </x:c>
      <x:c r="N5" s="115" t="str">
        <x:v>Riesgo</x:v>
      </x:c>
      <x:c r="O5" s="129" t="str">
        <x:v>Decision si falla</x:v>
      </x:c>
    </x:row>
    <x:row r="6" ht="34" customHeight="1">
      <x:c r="A6" s="142" t="str">
        <x:v>Llar de Mar 2</x:v>
      </x:c>
      <x:c r="B6" s="140" t="str">
        <x:v>Proyecto constructivo</x:v>
      </x:c>
      <x:c r="C6" s="149" t="n">
        <x:v>535000</x:v>
      </x:c>
      <x:c r="D6" s="151" t="n">
        <x:v>0.8</x:v>
      </x:c>
      <x:c r="E6" s="149" t="n">
        <x:f>C6*D6</x:f>
        <x:v>428000</x:v>
      </x:c>
      <x:c r="F6" s="151" t="n">
        <x:v>0.25</x:v>
      </x:c>
      <x:c r="G6" s="149" t="n">
        <x:f>C6*F6</x:f>
        <x:v>133750</x:v>
      </x:c>
      <x:c r="H6" s="149" t="n">
        <x:f>E6*F6</x:f>
        <x:v>107000</x:v>
      </x:c>
      <x:c r="I6" s="140" t="str">
        <x:v>Ene-27</x:v>
      </x:c>
      <x:c r="J6" s="140" t="str">
        <x:v>Abr-27</x:v>
      </x:c>
      <x:c r="K6" s="140" t="str">
        <x:v>Luis/Angel</x:v>
      </x:c>
      <x:c r="L6" s="140" t="str">
        <x:v>TASH/Barionika</x:v>
      </x:c>
      <x:c r="M6" s="140" t="str">
        <x:v>Contrato + anticipo</x:v>
      </x:c>
      <x:c r="N6" s="140" t="str">
        <x:v>Margen obra / anticipo</x:v>
      </x:c>
      <x:c r="O6" s="141" t="str">
        <x:v>No activar coste sin anticipo</x:v>
      </x:c>
    </x:row>
    <x:row r="7" ht="34" customHeight="1">
      <x:c r="A7" s="142" t="str">
        <x:v>Digitalizacion fabricante partner piloto</x:v>
      </x:c>
      <x:c r="B7" s="140" t="str">
        <x:v>Factory Enablement</x:v>
      </x:c>
      <x:c r="C7" s="149" t="n">
        <x:v>250000</x:v>
      </x:c>
      <x:c r="D7" s="151" t="n">
        <x:v>0.7</x:v>
      </x:c>
      <x:c r="E7" s="149" t="n">
        <x:f>C7*D7</x:f>
        <x:v>175000</x:v>
      </x:c>
      <x:c r="F7" s="151" t="n">
        <x:v>0.58</x:v>
      </x:c>
      <x:c r="G7" s="149" t="n">
        <x:f>C7*F7</x:f>
        <x:v>145000</x:v>
      </x:c>
      <x:c r="H7" s="149" t="n">
        <x:f>E7*F7</x:f>
        <x:v>101500</x:v>
      </x:c>
      <x:c r="I7" s="140" t="str">
        <x:v>Ene-27</x:v>
      </x:c>
      <x:c r="J7" s="140" t="str">
        <x:v>Abr-27</x:v>
      </x:c>
      <x:c r="K7" s="140" t="str">
        <x:v>Luis/Hernan</x:v>
      </x:c>
      <x:c r="L7" s="140" t="str">
        <x:v>Partner industrial</x:v>
      </x:c>
      <x:c r="M7" s="140" t="str">
        <x:v>m2 planta validados</x:v>
      </x:c>
      <x:c r="N7" s="140" t="str">
        <x:v>m2 reales de planta y alcance firmado</x:v>
      </x:c>
      <x:c r="O7" s="141" t="str">
        <x:v>Reclasificar tier o fasear</x:v>
      </x:c>
    </x:row>
    <x:row r="8" ht="34" customHeight="1">
      <x:c r="A8" s="142" t="str">
        <x:v>Digitalizacion equipo de montaje</x:v>
      </x:c>
      <x:c r="B8" s="140" t="str">
        <x:v>Crew Enablement</x:v>
      </x:c>
      <x:c r="C8" s="149" t="n">
        <x:v>35000</x:v>
      </x:c>
      <x:c r="D8" s="151" t="n">
        <x:v>0.7</x:v>
      </x:c>
      <x:c r="E8" s="149" t="n">
        <x:f>C8*D8</x:f>
        <x:v>24500</x:v>
      </x:c>
      <x:c r="F8" s="151" t="n">
        <x:v>0.62</x:v>
      </x:c>
      <x:c r="G8" s="149" t="n">
        <x:f>C8*F8</x:f>
        <x:v>21700</x:v>
      </x:c>
      <x:c r="H8" s="149" t="n">
        <x:f>E8*F8</x:f>
        <x:v>15190</x:v>
      </x:c>
      <x:c r="I8" s="140" t="str">
        <x:v>Abr-27</x:v>
      </x:c>
      <x:c r="J8" s="140" t="str">
        <x:v>Abr-27</x:v>
      </x:c>
      <x:c r="K8" s="140" t="str">
        <x:v>Luis/Operaciones</x:v>
      </x:c>
      <x:c r="L8" s="140" t="str">
        <x:v>Equipo instalador</x:v>
      </x:c>
      <x:c r="M8" s="140" t="str">
        <x:v>Cuadrillas y operarios validados</x:v>
      </x:c>
      <x:c r="N8" s="140" t="str">
        <x:v>Cuadrillas y operarios identificados</x:v>
      </x:c>
      <x:c r="O8" s="141" t="str">
        <x:v>Reducir a Crew Starter</x:v>
      </x:c>
    </x:row>
    <x:row r="9" ht="34" customHeight="1">
      <x:c r="A9" s="142" t="str">
        <x:v>Fee de Red Fabricante - 52.000 m2</x:v>
      </x:c>
      <x:c r="B9" s="140" t="str">
        <x:v>Usage fee</x:v>
      </x:c>
      <x:c r="C9" s="149" t="n">
        <x:v>130000</x:v>
      </x:c>
      <x:c r="D9" s="151" t="n">
        <x:v>0.7</x:v>
      </x:c>
      <x:c r="E9" s="149" t="n">
        <x:f>C9*D9</x:f>
        <x:v>91000</x:v>
      </x:c>
      <x:c r="F9" s="151" t="n">
        <x:v>0.86</x:v>
      </x:c>
      <x:c r="G9" s="149" t="n">
        <x:f>C9*F9</x:f>
        <x:v>111800</x:v>
      </x:c>
      <x:c r="H9" s="149" t="n">
        <x:f>E9*F9</x:f>
        <x:v>78260</x:v>
      </x:c>
      <x:c r="I9" s="140" t="str">
        <x:v>Feb-27</x:v>
      </x:c>
      <x:c r="J9" s="140" t="str">
        <x:v>Dic-27</x:v>
      </x:c>
      <x:c r="K9" s="140" t="str">
        <x:v>Luis/Operaciones</x:v>
      </x:c>
      <x:c r="L9" s="140" t="str">
        <x:v>Fabricante / proyectos</x:v>
      </x:c>
      <x:c r="M9" s="140" t="str">
        <x:v>m2 fabricados verificados</x:v>
      </x:c>
      <x:c r="N9" s="140" t="str">
        <x:v>m2 fabricados y trazados</x:v>
      </x:c>
      <x:c r="O9" s="141" t="str">
        <x:v>Facturar solo m2 verificados</x:v>
      </x:c>
    </x:row>
    <x:row r="10" ht="34" customHeight="1">
      <x:c r="A10" s="142" t="str">
        <x:v>Fee de Red Montaje - 52.000 m2</x:v>
      </x:c>
      <x:c r="B10" s="140" t="str">
        <x:v>Usage fee</x:v>
      </x:c>
      <x:c r="C10" s="149" t="n">
        <x:v>130000</x:v>
      </x:c>
      <x:c r="D10" s="151" t="n">
        <x:v>0.7</x:v>
      </x:c>
      <x:c r="E10" s="149" t="n">
        <x:f>C10*D10</x:f>
        <x:v>91000</x:v>
      </x:c>
      <x:c r="F10" s="151" t="n">
        <x:v>0.84</x:v>
      </x:c>
      <x:c r="G10" s="149" t="n">
        <x:f>C10*F10</x:f>
        <x:v>109200</x:v>
      </x:c>
      <x:c r="H10" s="149" t="n">
        <x:f>E10*F10</x:f>
        <x:v>76440</x:v>
      </x:c>
      <x:c r="I10" s="140" t="str">
        <x:v>Feb-27</x:v>
      </x:c>
      <x:c r="J10" s="140" t="str">
        <x:v>Dic-27</x:v>
      </x:c>
      <x:c r="K10" s="140" t="str">
        <x:v>Luis/Operaciones</x:v>
      </x:c>
      <x:c r="L10" s="140" t="str">
        <x:v>Montador / proyectos</x:v>
      </x:c>
      <x:c r="M10" s="140" t="str">
        <x:v>m2 instalados verificados</x:v>
      </x:c>
      <x:c r="N10" s="140" t="str">
        <x:v>m2 instalados con Site Proof</x:v>
      </x:c>
      <x:c r="O10" s="141" t="str">
        <x:v>Facturar solo m2 verificados</x:v>
      </x:c>
    </x:row>
    <x:row r="11" ht="34" customHeight="1">
      <x:c r="A11" s="142" t="str">
        <x:v>KIWA/RMOOB - proyecto unico</x:v>
      </x:c>
      <x:c r="B11" s="140" t="str">
        <x:v>Certificacion / SaaS</x:v>
      </x:c>
      <x:c r="C11" s="149" t="n">
        <x:v>400000</x:v>
      </x:c>
      <x:c r="D11" s="151" t="n">
        <x:v>0.5</x:v>
      </x:c>
      <x:c r="E11" s="149" t="n">
        <x:f>C11*D11</x:f>
        <x:v>200000</x:v>
      </x:c>
      <x:c r="F11" s="151" t="n">
        <x:v>0.55</x:v>
      </x:c>
      <x:c r="G11" s="149" t="n">
        <x:f>C11*F11</x:f>
        <x:v>220000.00000000003</x:v>
      </x:c>
      <x:c r="H11" s="149" t="n">
        <x:f>E11*F11</x:f>
        <x:v>110000.00000000001</x:v>
      </x:c>
      <x:c r="I11" s="140" t="str">
        <x:v>Oct-27</x:v>
      </x:c>
      <x:c r="J11" s="140" t="str">
        <x:v>Dic-27</x:v>
      </x:c>
      <x:c r="K11" s="140" t="str">
        <x:v>Luis/Hernan</x:v>
      </x:c>
      <x:c r="L11" s="140" t="str">
        <x:v>KIWA/RMOOB</x:v>
      </x:c>
      <x:c r="M11" s="140" t="str">
        <x:v>Contrato + alcance + hitos</x:v>
      </x:c>
      <x:c r="N11" s="140" t="str">
        <x:v>Contrato, alcance y cobro por hitos</x:v>
      </x:c>
      <x:c r="O11" s="141" t="str">
        <x:v>No reconocer sin firma</x:v>
      </x:c>
    </x:row>
    <x:row r="12" ht="34" customHeight="1">
      <x:c r="A12" s="142" t="str">
        <x:v>Moolde / Plastic People / Calaf</x:v>
      </x:c>
      <x:c r="B12" s="140" t="str">
        <x:v>Piloto circular</x:v>
      </x:c>
      <x:c r="C12" s="149" t="n">
        <x:v>90000</x:v>
      </x:c>
      <x:c r="D12" s="151" t="n">
        <x:v>0.45</x:v>
      </x:c>
      <x:c r="E12" s="149" t="n">
        <x:f>C12*D12</x:f>
        <x:v>40500</x:v>
      </x:c>
      <x:c r="F12" s="151" t="n">
        <x:v>0.4</x:v>
      </x:c>
      <x:c r="G12" s="149" t="n">
        <x:f>C12*F12</x:f>
        <x:v>36000</x:v>
      </x:c>
      <x:c r="H12" s="149" t="n">
        <x:f>E12*F12</x:f>
        <x:v>16200</x:v>
      </x:c>
      <x:c r="I12" s="140" t="str">
        <x:v>May-27</x:v>
      </x:c>
      <x:c r="J12" s="140" t="str">
        <x:v>Sep-27</x:v>
      </x:c>
      <x:c r="K12" s="140" t="str">
        <x:v>Luis/Hernan</x:v>
      </x:c>
      <x:c r="L12" s="140" t="str">
        <x:v>Plastic People/Calaf</x:v>
      </x:c>
      <x:c r="M12" s="140" t="str">
        <x:v>Cofinanciacion + presupuesto</x:v>
      </x:c>
      <x:c r="N12" s="140" t="str">
        <x:v>Cofinanciacion y presupuesto</x:v>
      </x:c>
      <x:c r="O12" s="141" t="str">
        <x:v>Evitar piloto gratuito</x:v>
      </x:c>
    </x:row>
    <x:row r="13" ht="34" customHeight="1">
      <x:c r="A13" s="142" t="str">
        <x:v>Marsam / marcas producto</x:v>
      </x:c>
      <x:c r="B13" s="140" t="str">
        <x:v>Prototipos comerciales</x:v>
      </x:c>
      <x:c r="C13" s="149" t="n">
        <x:v>40000</x:v>
      </x:c>
      <x:c r="D13" s="151" t="n">
        <x:v>0.45</x:v>
      </x:c>
      <x:c r="E13" s="149" t="n">
        <x:f>C13*D13</x:f>
        <x:v>18000</x:v>
      </x:c>
      <x:c r="F13" s="151" t="n">
        <x:v>0.55</x:v>
      </x:c>
      <x:c r="G13" s="149" t="n">
        <x:f>C13*F13</x:f>
        <x:v>22000</x:v>
      </x:c>
      <x:c r="H13" s="149" t="n">
        <x:f>E13*F13</x:f>
        <x:v>9900</x:v>
      </x:c>
      <x:c r="I13" s="140" t="str">
        <x:v>Jun-27</x:v>
      </x:c>
      <x:c r="J13" s="140" t="str">
        <x:v>Nov-27</x:v>
      </x:c>
      <x:c r="K13" s="140" t="str">
        <x:v>Luis/Emilio</x:v>
      </x:c>
      <x:c r="L13" s="140" t="str">
        <x:v>Marsam/marcas</x:v>
      </x:c>
      <x:c r="M13" s="140" t="str">
        <x:v>Oferta aceptada</x:v>
      </x:c>
      <x:c r="N13" s="140" t="str">
        <x:v>Oferta aceptada</x:v>
      </x:c>
      <x:c r="O13" s="141" t="str">
        <x:v>Paquetizar prototipo</x:v>
      </x:c>
    </x:row>
    <x:row r="14" ht="34" customHeight="1">
      <x:c r="A14" s="142" t="str">
        <x:v>SaaS / POI / DPP recurrente</x:v>
      </x:c>
      <x:c r="B14" s="140" t="str">
        <x:v>Recurrente inicial</x:v>
      </x:c>
      <x:c r="C14" s="149" t="n">
        <x:v>60000</x:v>
      </x:c>
      <x:c r="D14" s="151" t="n">
        <x:v>0.6</x:v>
      </x:c>
      <x:c r="E14" s="149" t="n">
        <x:f>C14*D14</x:f>
        <x:v>36000</x:v>
      </x:c>
      <x:c r="F14" s="151" t="n">
        <x:v>0.75</x:v>
      </x:c>
      <x:c r="G14" s="149" t="n">
        <x:f>C14*F14</x:f>
        <x:v>45000</x:v>
      </x:c>
      <x:c r="H14" s="149" t="n">
        <x:f>E14*F14</x:f>
        <x:v>27000</x:v>
      </x:c>
      <x:c r="I14" s="140" t="str">
        <x:v>Jul-27</x:v>
      </x:c>
      <x:c r="J14" s="140" t="str">
        <x:v>Dic-27</x:v>
      </x:c>
      <x:c r="K14" s="140" t="str">
        <x:v>Hernan/Santi</x:v>
      </x:c>
      <x:c r="L14" s="140" t="str">
        <x:v>Clientes pipeline</x:v>
      </x:c>
      <x:c r="M14" s="140" t="str">
        <x:v>Contrato activo + uso</x:v>
      </x:c>
      <x:c r="N14" s="140" t="str">
        <x:v>Contratos activos y uso</x:v>
      </x:c>
      <x:c r="O14" s="141" t="str">
        <x:v>Reducir alcance a MVP vendible</x:v>
      </x:c>
    </x:row>
    <x:row r="15" ht="34" customHeight="1">
      <x:c r="A15" s="138" t="str">
        <x:v>TOTAL</x:v>
      </x:c>
      <x:c r="B15" s="139" t="str"/>
      <x:c r="C15" s="139" t="n">
        <x:f>SUM(C6:C14)</x:f>
        <x:v>1670000</x:v>
      </x:c>
      <x:c r="D15" s="139"/>
      <x:c r="E15" s="139" t="n">
        <x:f>SUM(E6:E14)</x:f>
        <x:v>1104000</x:v>
      </x:c>
      <x:c r="F15" s="139"/>
      <x:c r="G15" s="139" t="n">
        <x:f>SUM(G6:G14)</x:f>
        <x:v>844450</x:v>
      </x:c>
      <x:c r="H15" s="139" t="n">
        <x:f>SUM(H6:H14)</x:f>
        <x:v>541490</x:v>
      </x:c>
      <x:c r="I15" s="139"/>
      <x:c r="J15" s="139"/>
      <x:c r="K15" s="139"/>
      <x:c r="L15" s="139"/>
      <x:c r="M15" s="139"/>
      <x:c r="N15" s="139"/>
      <x:c r="O15" s="150"/>
    </x:row>
    <x:row r="16">
      <x:c r="A16" s="13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5"/>
    </x:row>
    <x:row r="17">
      <x:c r="A17" s="13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5"/>
    </x:row>
    <x:row r="18">
      <x:c r="A18" s="13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5"/>
    </x:row>
    <x:row r="19">
      <x:c r="A19" s="13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5"/>
    </x:row>
    <x:row r="20">
      <x:c r="A20" s="13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5"/>
    </x:row>
    <x:row r="21">
      <x:c r="A21" s="13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5"/>
    </x:row>
    <x:row r="22">
      <x:c r="A22" s="13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5"/>
    </x:row>
    <x:row r="23">
      <x:c r="A23" s="13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5"/>
    </x:row>
    <x:row r="24">
      <x:c r="A24" s="13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5"/>
    </x:row>
    <x:row r="25">
      <x:c r="A25" s="13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5"/>
    </x:row>
    <x:row r="26">
      <x:c r="A26" s="13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5"/>
    </x:row>
    <x:row r="27">
      <x:c r="A27" s="13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5"/>
    </x:row>
    <x:row r="28">
      <x:c r="A28" s="13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5"/>
    </x:row>
    <x:row r="29">
      <x:c r="A29" s="13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5"/>
    </x:row>
    <x:row r="30">
      <x:c r="A30" s="13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5"/>
    </x:row>
    <x:row r="31">
      <x:c r="A31" s="13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5"/>
    </x:row>
    <x:row r="32">
      <x:c r="A32" s="13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5"/>
    </x:row>
    <x:row r="33">
      <x:c r="A33" s="13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5"/>
    </x:row>
    <x:row r="34">
      <x:c r="A34" s="13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5"/>
    </x:row>
    <x:row r="35">
      <x:c r="A35" s="13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5"/>
    </x:row>
    <x:row r="36">
      <x:c r="A36" s="13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5"/>
    </x:row>
    <x:row r="37">
      <x:c r="A37" s="13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5"/>
    </x:row>
    <x:row r="38">
      <x:c r="A38" s="13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5"/>
    </x:row>
    <x:row r="39">
      <x:c r="A39" s="13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5"/>
    </x:row>
    <x:row r="40">
      <x:c r="A40" s="13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5"/>
    </x:row>
    <x:row r="41">
      <x:c r="A41" s="13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5"/>
    </x:row>
    <x:row r="42">
      <x:c r="A42" s="13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5"/>
    </x:row>
    <x:row r="43">
      <x:c r="A43" s="13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5"/>
    </x:row>
    <x:row r="44">
      <x:c r="A44" s="13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5"/>
    </x:row>
    <x:row r="45">
      <x:c r="A45" s="16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</x:cols>
  <x:sheetData>
    <x:row r="1">
      <x:c r="A1" s="107" t="str">
        <x:v>16 300K Puente con escala</x:v>
      </x:c>
      <x:c r="B1" s="108" t="str"/>
      <x:c r="C1" s="108" t="str"/>
      <x:c r="D1" s="108" t="str"/>
      <x:c r="E1" s="109" t="str"/>
      <x:c r="F1" s="109" t="str"/>
      <x:c r="G1" s="109" t="str"/>
      <x:c r="H1" s="110" t="str"/>
    </x:row>
    <x:row r="2">
      <x:c r="A2" s="111" t="str">
        <x:v>Puente explicito entre plan minimo 300K y CUEVA Total 2030. Esta hoja separa ambos niveles.</x:v>
      </x:c>
      <x:c r="B2" s="112" t="str"/>
      <x:c r="C2" s="112" t="str"/>
      <x:c r="D2" s="112" t="str"/>
      <x:c r="E2" s="112" t="str"/>
      <x:c r="F2" s="112" t="str"/>
      <x:c r="G2" s="112" t="str"/>
      <x:c r="H2" s="113" t="str"/>
    </x:row>
    <x:row r="3">
      <x:c r="A3" s="13" t="str"/>
      <x:c r="B3" s="14" t="str"/>
      <x:c r="C3" s="14" t="str"/>
      <x:c r="D3" s="14" t="str"/>
      <x:c r="E3" s="14" t="str"/>
      <x:c r="F3" s="14" t="str"/>
      <x:c r="G3" s="14" t="str"/>
      <x:c r="H3" s="15" t="str"/>
    </x:row>
    <x:row r="4">
      <x:c r="A4" s="13"/>
      <x:c r="B4" s="14"/>
      <x:c r="C4" s="14"/>
      <x:c r="D4" s="14"/>
      <x:c r="E4" s="14"/>
      <x:c r="F4" s="14"/>
      <x:c r="G4" s="14"/>
      <x:c r="H4" s="15"/>
    </x:row>
    <x:row r="5">
      <x:c r="A5" s="114" t="str">
        <x:v>Metrica 2027</x:v>
      </x:c>
      <x:c r="B5" s="115" t="str">
        <x:v>Plan 300K</x:v>
      </x:c>
      <x:c r="C5" s="115" t="str">
        <x:v>Scale case</x:v>
      </x:c>
      <x:c r="D5" s="115" t="str">
        <x:v>Gap / lectura</x:v>
      </x:c>
      <x:c r="E5" s="115" t="str">
        <x:v>Gate para escalar</x:v>
      </x:c>
      <x:c r="F5" s="115" t="str">
        <x:v>Notas</x:v>
      </x:c>
      <x:c r="G5" s="14"/>
      <x:c r="H5" s="15"/>
    </x:row>
    <x:row r="6" ht="34" customHeight="1">
      <x:c r="A6" s="142" t="str">
        <x:v>m2 ejecutados</x:v>
      </x:c>
      <x:c r="B6" s="152" t="n">
        <x:v>52000</x:v>
      </x:c>
      <x:c r="C6" s="152" t="n">
        <x:v>446000</x:v>
      </x:c>
      <x:c r="D6" s="152" t="n">
        <x:f>C6-B6</x:f>
        <x:v>394000</x:v>
      </x:c>
      <x:c r="E6" s="140" t="str">
        <x:v>Capital de expansion + contratos de red</x:v>
      </x:c>
      <x:c r="F6" s="140" t="str">
        <x:v>El 300K demuestra el caso minimo; no sustituye la escala.</x:v>
      </x:c>
      <x:c r="G6" s="140"/>
      <x:c r="H6" s="141"/>
    </x:row>
    <x:row r="7" ht="34" customHeight="1">
      <x:c r="A7" s="142" t="str">
        <x:v>Revenue EUR M</x:v>
      </x:c>
      <x:c r="B7" s="149" t="n">
        <x:v>1.67</x:v>
      </x:c>
      <x:c r="C7" s="149" t="n">
        <x:v>12.722895</x:v>
      </x:c>
      <x:c r="D7" s="149" t="n">
        <x:f>C7-B7</x:f>
        <x:v>11.052895</x:v>
      </x:c>
      <x:c r="E7" s="140" t="str">
        <x:v>Diferenciar base obligatoria de crecimiento financiado</x:v>
      </x:c>
      <x:c r="F7" s="140" t="str">
        <x:v>La lectura scale exige capital adicional.</x:v>
      </x:c>
      <x:c r="G7" s="140"/>
      <x:c r="H7" s="141"/>
    </x:row>
    <x:row r="8" ht="34" customHeight="1">
      <x:c r="A8" s="142" t="str">
        <x:v>EBITDA EUR M</x:v>
      </x:c>
      <x:c r="B8" s="149" t="n">
        <x:v>0.313999</x:v>
      </x:c>
      <x:c r="C8" s="149" t="n">
        <x:v>1.90938</x:v>
      </x:c>
      <x:c r="D8" s="149" t="n">
        <x:f>C8-B8</x:f>
        <x:v>1.5953810000000002</x:v>
      </x:c>
      <x:c r="E8" s="140" t="str">
        <x:v>No anticipar contratacion sin hitos</x:v>
      </x:c>
      <x:c r="F8" s="140" t="str">
        <x:v>Equipo y OPEX deben liberarse por gates.</x:v>
      </x:c>
      <x:c r="G8" s="140"/>
      <x:c r="H8" s="141"/>
    </x:row>
    <x:row r="9" ht="34" customHeight="1">
      <x:c r="A9" s="142" t="str">
        <x:v>Financiacion de expansion EUR M</x:v>
      </x:c>
      <x:c r="B9" s="149" t="n">
        <x:v>0.3</x:v>
      </x:c>
      <x:c r="C9" s="149" t="n">
        <x:v>3</x:v>
      </x:c>
      <x:c r="D9" s="149" t="n">
        <x:f>C9-B9</x:f>
        <x:v>2.7</x:v>
      </x:c>
      <x:c r="E9" s="140" t="str">
        <x:v>Ronda posterior al plan minimo</x:v>
      </x:c>
      <x:c r="F9" s="140" t="str">
        <x:v>El gap de capital no se imputa al 300K.</x:v>
      </x:c>
      <x:c r="G9" s="140"/>
      <x:c r="H9" s="141"/>
    </x:row>
    <x:row r="10" ht="34" customHeight="1">
      <x:c r="A10" s="142"/>
      <x:c r="B10" s="140"/>
      <x:c r="C10" s="140"/>
      <x:c r="D10" s="140"/>
      <x:c r="E10" s="140"/>
      <x:c r="F10" s="140"/>
      <x:c r="G10" s="140"/>
      <x:c r="H10" s="141"/>
    </x:row>
    <x:row r="11" ht="34" customHeight="1">
      <x:c r="A11" s="142"/>
      <x:c r="B11" s="140"/>
      <x:c r="C11" s="140"/>
      <x:c r="D11" s="140"/>
      <x:c r="E11" s="140"/>
      <x:c r="F11" s="140"/>
      <x:c r="G11" s="140"/>
      <x:c r="H11" s="141"/>
    </x:row>
    <x:row r="12" ht="34" customHeight="1">
      <x:c r="A12" s="143" t="str">
        <x:v>Bridge ingresos 2027: lectura de referencia a lectura ajustada</x:v>
      </x:c>
      <x:c r="B12" s="144" t="str"/>
      <x:c r="C12" s="144" t="str"/>
      <x:c r="D12" s="144" t="str"/>
      <x:c r="E12" s="144" t="str"/>
      <x:c r="F12" s="144" t="str"/>
      <x:c r="G12" s="144" t="str"/>
      <x:c r="H12" s="145" t="str"/>
    </x:row>
    <x:row r="13" ht="34" customHeight="1">
      <x:c r="A13" s="146" t="str">
        <x:v>Movimiento</x:v>
      </x:c>
      <x:c r="B13" s="147" t="str">
        <x:v>Movimiento EUR</x:v>
      </x:c>
      <x:c r="C13" s="147" t="str">
        <x:v>Acumulado EUR</x:v>
      </x:c>
      <x:c r="D13" s="147" t="str">
        <x:v>Racional</x:v>
      </x:c>
      <x:c r="E13" s="147" t="str">
        <x:v>Nota</x:v>
      </x:c>
      <x:c r="F13" s="147" t="str"/>
      <x:c r="G13" s="147" t="str"/>
      <x:c r="H13" s="148" t="str"/>
    </x:row>
    <x:row r="14" ht="34" customHeight="1">
      <x:c r="A14" s="142" t="str">
        <x:v>Plan 2027 de referencia</x:v>
      </x:c>
      <x:c r="B14" s="149" t="n">
        <x:v>2155000</x:v>
      </x:c>
      <x:c r="C14" s="149" t="n">
        <x:v>2155000</x:v>
      </x:c>
      <x:c r="D14" s="140" t="str">
        <x:v>Referencia de plan base</x:v>
      </x:c>
      <x:c r="E14" s="140" t="str"/>
      <x:c r="F14" s="140"/>
      <x:c r="G14" s="140"/>
      <x:c r="H14" s="141"/>
    </x:row>
    <x:row r="15" ht="34" customHeight="1">
      <x:c r="A15" s="142" t="str">
        <x:v>Eliminar KIWA/RMOOB duplicado</x:v>
      </x:c>
      <x:c r="B15" s="149" t="n">
        <x:v>-850000</x:v>
      </x:c>
      <x:c r="C15" s="149" t="n">
        <x:f>C14+B15</x:f>
        <x:v>1305000</x:v>
      </x:c>
      <x:c r="D15" s="140" t="str">
        <x:v>Se conserva un unico proyecto de 400k</x:v>
      </x:c>
      <x:c r="E15" s="140" t="str">
        <x:v>Evita duplicidad.</x:v>
      </x:c>
      <x:c r="F15" s="140"/>
      <x:c r="G15" s="140"/>
      <x:c r="H15" s="141"/>
    </x:row>
    <x:row r="16" ht="34" customHeight="1">
      <x:c r="A16" s="142" t="str">
        <x:v>Reprecificar implantacion fabricante</x:v>
      </x:c>
      <x:c r="B16" s="149" t="n">
        <x:v>70000</x:v>
      </x:c>
      <x:c r="C16" s="149" t="n">
        <x:f>C15+B16</x:f>
        <x:v>1375000</x:v>
      </x:c>
      <x:c r="D16" s="140" t="str">
        <x:v>180k legacy pasa a tier por m2 de planta</x:v>
      </x:c>
      <x:c r="E16" s="140" t="str">
        <x:v>Ajuste de pricing.</x:v>
      </x:c>
      <x:c r="F16" s="140"/>
      <x:c r="G16" s="140"/>
      <x:c r="H16" s="141"/>
    </x:row>
    <x:row r="17" ht="34" customHeight="1">
      <x:c r="A17" s="142" t="str">
        <x:v>Añadir digitalizacion montador</x:v>
      </x:c>
      <x:c r="B17" s="149" t="n">
        <x:v>35000</x:v>
      </x:c>
      <x:c r="C17" s="149" t="n">
        <x:f>C16+B17</x:f>
        <x:v>1410000</x:v>
      </x:c>
      <x:c r="D17" s="140" t="str">
        <x:v>Precio por numero de cuadrillas</x:v>
      </x:c>
      <x:c r="E17" s="140" t="str">
        <x:v>Nueva linea.</x:v>
      </x:c>
      <x:c r="F17" s="140"/>
      <x:c r="G17" s="140"/>
      <x:c r="H17" s="141"/>
    </x:row>
    <x:row r="18" ht="34" customHeight="1">
      <x:c r="A18" s="142" t="str">
        <x:v>Añadir fees fabricante + montaje</x:v>
      </x:c>
      <x:c r="B18" s="149" t="n">
        <x:v>260000</x:v>
      </x:c>
      <x:c r="C18" s="149" t="n">
        <x:f>C17+B18</x:f>
        <x:v>1670000</x:v>
      </x:c>
      <x:c r="D18" s="140" t="str">
        <x:v>52k m2 x 5,00 EUR/m2 combinados</x:v>
      </x:c>
      <x:c r="E18" s="140" t="str">
        <x:v>Fee de red combinado.</x:v>
      </x:c>
      <x:c r="F18" s="140"/>
      <x:c r="G18" s="140"/>
      <x:c r="H18" s="141"/>
    </x:row>
    <x:row r="19" ht="34" customHeight="1">
      <x:c r="A19" s="138" t="str">
        <x:v>Management case 2027</x:v>
      </x:c>
      <x:c r="B19" s="139" t="str"/>
      <x:c r="C19" s="139" t="n">
        <x:f>C18</x:f>
        <x:v>1670000</x:v>
      </x:c>
      <x:c r="D19" s="139" t="str">
        <x:v>Debe reconciliar con pipeline 300K</x:v>
      </x:c>
      <x:c r="E19" s="139" t="str"/>
      <x:c r="F19" s="139"/>
      <x:c r="G19" s="139"/>
      <x:c r="H19" s="150"/>
    </x:row>
    <x:row r="20">
      <x:c r="A20" s="13"/>
      <x:c r="B20" s="14"/>
      <x:c r="C20" s="14"/>
      <x:c r="D20" s="14"/>
      <x:c r="E20" s="14"/>
      <x:c r="F20" s="14"/>
      <x:c r="G20" s="14"/>
      <x:c r="H20" s="15"/>
    </x:row>
    <x:row r="21">
      <x:c r="A21" s="13"/>
      <x:c r="B21" s="14"/>
      <x:c r="C21" s="14"/>
      <x:c r="D21" s="14"/>
      <x:c r="E21" s="14"/>
      <x:c r="F21" s="14"/>
      <x:c r="G21" s="14"/>
      <x:c r="H21" s="15"/>
    </x:row>
    <x:row r="22">
      <x:c r="A22" s="13"/>
      <x:c r="B22" s="14"/>
      <x:c r="C22" s="14"/>
      <x:c r="D22" s="14"/>
      <x:c r="E22" s="14"/>
      <x:c r="F22" s="14"/>
      <x:c r="G22" s="14"/>
      <x:c r="H22" s="15"/>
    </x:row>
    <x:row r="23">
      <x:c r="A23" s="13"/>
      <x:c r="B23" s="14"/>
      <x:c r="C23" s="14"/>
      <x:c r="D23" s="14"/>
      <x:c r="E23" s="14"/>
      <x:c r="F23" s="14"/>
      <x:c r="G23" s="14"/>
      <x:c r="H23" s="15"/>
    </x:row>
    <x:row r="24">
      <x:c r="A24" s="13"/>
      <x:c r="B24" s="14"/>
      <x:c r="C24" s="14"/>
      <x:c r="D24" s="14"/>
      <x:c r="E24" s="14"/>
      <x:c r="F24" s="14"/>
      <x:c r="G24" s="14"/>
      <x:c r="H24" s="15"/>
    </x:row>
    <x:row r="25">
      <x:c r="A25" s="13"/>
      <x:c r="B25" s="14"/>
      <x:c r="C25" s="14"/>
      <x:c r="D25" s="14"/>
      <x:c r="E25" s="14"/>
      <x:c r="F25" s="14"/>
      <x:c r="G25" s="14"/>
      <x:c r="H25" s="15"/>
    </x:row>
    <x:row r="26">
      <x:c r="A26" s="13"/>
      <x:c r="B26" s="14"/>
      <x:c r="C26" s="14"/>
      <x:c r="D26" s="14"/>
      <x:c r="E26" s="14"/>
      <x:c r="F26" s="14"/>
      <x:c r="G26" s="14"/>
      <x:c r="H26" s="15"/>
    </x:row>
    <x:row r="27">
      <x:c r="A27" s="13"/>
      <x:c r="B27" s="14"/>
      <x:c r="C27" s="14"/>
      <x:c r="D27" s="14"/>
      <x:c r="E27" s="14"/>
      <x:c r="F27" s="14"/>
      <x:c r="G27" s="14"/>
      <x:c r="H27" s="15"/>
    </x:row>
    <x:row r="28">
      <x:c r="A28" s="13"/>
      <x:c r="B28" s="14"/>
      <x:c r="C28" s="14"/>
      <x:c r="D28" s="14"/>
      <x:c r="E28" s="14"/>
      <x:c r="F28" s="14"/>
      <x:c r="G28" s="14"/>
      <x:c r="H28" s="15"/>
    </x:row>
    <x:row r="29">
      <x:c r="A29" s="13"/>
      <x:c r="B29" s="14"/>
      <x:c r="C29" s="14"/>
      <x:c r="D29" s="14"/>
      <x:c r="E29" s="14"/>
      <x:c r="F29" s="14"/>
      <x:c r="G29" s="14"/>
      <x:c r="H29" s="15"/>
    </x:row>
    <x:row r="30">
      <x:c r="A30" s="13"/>
      <x:c r="B30" s="14"/>
      <x:c r="C30" s="14"/>
      <x:c r="D30" s="14"/>
      <x:c r="E30" s="14"/>
      <x:c r="F30" s="14"/>
      <x:c r="G30" s="14"/>
      <x:c r="H30" s="15"/>
    </x:row>
    <x:row r="31">
      <x:c r="A31" s="13"/>
      <x:c r="B31" s="14"/>
      <x:c r="C31" s="14"/>
      <x:c r="D31" s="14"/>
      <x:c r="E31" s="14"/>
      <x:c r="F31" s="14"/>
      <x:c r="G31" s="14"/>
      <x:c r="H31" s="15"/>
    </x:row>
    <x:row r="32">
      <x:c r="A32" s="13"/>
      <x:c r="B32" s="14"/>
      <x:c r="C32" s="14"/>
      <x:c r="D32" s="14"/>
      <x:c r="E32" s="14"/>
      <x:c r="F32" s="14"/>
      <x:c r="G32" s="14"/>
      <x:c r="H32" s="15"/>
    </x:row>
    <x:row r="33">
      <x:c r="A33" s="13"/>
      <x:c r="B33" s="14"/>
      <x:c r="C33" s="14"/>
      <x:c r="D33" s="14"/>
      <x:c r="E33" s="14"/>
      <x:c r="F33" s="14"/>
      <x:c r="G33" s="14"/>
      <x:c r="H33" s="15"/>
    </x:row>
    <x:row r="34">
      <x:c r="A34" s="13"/>
      <x:c r="B34" s="14"/>
      <x:c r="C34" s="14"/>
      <x:c r="D34" s="14"/>
      <x:c r="E34" s="14"/>
      <x:c r="F34" s="14"/>
      <x:c r="G34" s="14"/>
      <x:c r="H34" s="15"/>
    </x:row>
    <x:row r="35">
      <x:c r="A35" s="13"/>
      <x:c r="B35" s="14"/>
      <x:c r="C35" s="14"/>
      <x:c r="D35" s="14"/>
      <x:c r="E35" s="14"/>
      <x:c r="F35" s="14"/>
      <x:c r="G35" s="14"/>
      <x:c r="H35" s="15"/>
    </x:row>
    <x:row r="36">
      <x:c r="A36" s="13"/>
      <x:c r="B36" s="14"/>
      <x:c r="C36" s="14"/>
      <x:c r="D36" s="14"/>
      <x:c r="E36" s="14"/>
      <x:c r="F36" s="14"/>
      <x:c r="G36" s="14"/>
      <x:c r="H36" s="15"/>
    </x:row>
    <x:row r="37">
      <x:c r="A37" s="13"/>
      <x:c r="B37" s="14"/>
      <x:c r="C37" s="14"/>
      <x:c r="D37" s="14"/>
      <x:c r="E37" s="14"/>
      <x:c r="F37" s="14"/>
      <x:c r="G37" s="14"/>
      <x:c r="H37" s="15"/>
    </x:row>
    <x:row r="38">
      <x:c r="A38" s="13"/>
      <x:c r="B38" s="14"/>
      <x:c r="C38" s="14"/>
      <x:c r="D38" s="14"/>
      <x:c r="E38" s="14"/>
      <x:c r="F38" s="14"/>
      <x:c r="G38" s="14"/>
      <x:c r="H38" s="15"/>
    </x:row>
    <x:row r="39">
      <x:c r="A39" s="13"/>
      <x:c r="B39" s="14"/>
      <x:c r="C39" s="14"/>
      <x:c r="D39" s="14"/>
      <x:c r="E39" s="14"/>
      <x:c r="F39" s="14"/>
      <x:c r="G39" s="14"/>
      <x:c r="H39" s="15"/>
    </x:row>
    <x:row r="40">
      <x:c r="A40" s="13"/>
      <x:c r="B40" s="14"/>
      <x:c r="C40" s="14"/>
      <x:c r="D40" s="14"/>
      <x:c r="E40" s="14"/>
      <x:c r="F40" s="14"/>
      <x:c r="G40" s="14"/>
      <x:c r="H40" s="15"/>
    </x:row>
    <x:row r="41">
      <x:c r="A41" s="13"/>
      <x:c r="B41" s="14"/>
      <x:c r="C41" s="14"/>
      <x:c r="D41" s="14"/>
      <x:c r="E41" s="14"/>
      <x:c r="F41" s="14"/>
      <x:c r="G41" s="14"/>
      <x:c r="H41" s="15"/>
    </x:row>
    <x:row r="42">
      <x:c r="A42" s="13"/>
      <x:c r="B42" s="14"/>
      <x:c r="C42" s="14"/>
      <x:c r="D42" s="14"/>
      <x:c r="E42" s="14"/>
      <x:c r="F42" s="14"/>
      <x:c r="G42" s="14"/>
      <x:c r="H42" s="15"/>
    </x:row>
    <x:row r="43">
      <x:c r="A43" s="13"/>
      <x:c r="B43" s="14"/>
      <x:c r="C43" s="14"/>
      <x:c r="D43" s="14"/>
      <x:c r="E43" s="14"/>
      <x:c r="F43" s="14"/>
      <x:c r="G43" s="14"/>
      <x:c r="H43" s="15"/>
    </x:row>
    <x:row r="44">
      <x:c r="A44" s="13"/>
      <x:c r="B44" s="14"/>
      <x:c r="C44" s="14"/>
      <x:c r="D44" s="14"/>
      <x:c r="E44" s="14"/>
      <x:c r="F44" s="14"/>
      <x:c r="G44" s="14"/>
      <x:c r="H44" s="15"/>
    </x:row>
    <x:row r="45">
      <x:c r="A45" s="13"/>
      <x:c r="B45" s="14"/>
      <x:c r="C45" s="14"/>
      <x:c r="D45" s="14"/>
      <x:c r="E45" s="14"/>
      <x:c r="F45" s="14"/>
      <x:c r="G45" s="14"/>
      <x:c r="H45" s="15"/>
    </x:row>
    <x:row r="46">
      <x:c r="A46" s="13"/>
      <x:c r="B46" s="14"/>
      <x:c r="C46" s="14"/>
      <x:c r="D46" s="14"/>
      <x:c r="E46" s="14"/>
      <x:c r="F46" s="14"/>
      <x:c r="G46" s="14"/>
      <x:c r="H46" s="15"/>
    </x:row>
    <x:row r="47">
      <x:c r="A47" s="13"/>
      <x:c r="B47" s="14"/>
      <x:c r="C47" s="14"/>
      <x:c r="D47" s="14"/>
      <x:c r="E47" s="14"/>
      <x:c r="F47" s="14"/>
      <x:c r="G47" s="14"/>
      <x:c r="H47" s="15"/>
    </x:row>
    <x:row r="48">
      <x:c r="A48" s="13"/>
      <x:c r="B48" s="14"/>
      <x:c r="C48" s="14"/>
      <x:c r="D48" s="14"/>
      <x:c r="E48" s="14"/>
      <x:c r="F48" s="14"/>
      <x:c r="G48" s="14"/>
      <x:c r="H48" s="15"/>
    </x:row>
    <x:row r="49">
      <x:c r="A49" s="13"/>
      <x:c r="B49" s="14"/>
      <x:c r="C49" s="14"/>
      <x:c r="D49" s="14"/>
      <x:c r="E49" s="14"/>
      <x:c r="F49" s="14"/>
      <x:c r="G49" s="14"/>
      <x:c r="H49" s="15"/>
    </x:row>
    <x:row r="50">
      <x:c r="A50" s="13"/>
      <x:c r="B50" s="14"/>
      <x:c r="C50" s="14"/>
      <x:c r="D50" s="14"/>
      <x:c r="E50" s="14"/>
      <x:c r="F50" s="14"/>
      <x:c r="G50" s="14"/>
      <x:c r="H50" s="15"/>
    </x:row>
    <x:row r="51">
      <x:c r="A51" s="13"/>
      <x:c r="B51" s="14"/>
      <x:c r="C51" s="14"/>
      <x:c r="D51" s="14"/>
      <x:c r="E51" s="14"/>
      <x:c r="F51" s="14"/>
      <x:c r="G51" s="14"/>
      <x:c r="H51" s="15"/>
    </x:row>
    <x:row r="52">
      <x:c r="A52" s="13"/>
      <x:c r="B52" s="14"/>
      <x:c r="C52" s="14"/>
      <x:c r="D52" s="14"/>
      <x:c r="E52" s="14"/>
      <x:c r="F52" s="14"/>
      <x:c r="G52" s="14"/>
      <x:c r="H52" s="15"/>
    </x:row>
    <x:row r="53">
      <x:c r="A53" s="13"/>
      <x:c r="B53" s="14"/>
      <x:c r="C53" s="14"/>
      <x:c r="D53" s="14"/>
      <x:c r="E53" s="14"/>
      <x:c r="F53" s="14"/>
      <x:c r="G53" s="14"/>
      <x:c r="H53" s="15"/>
    </x:row>
    <x:row r="54">
      <x:c r="A54" s="13"/>
      <x:c r="B54" s="14"/>
      <x:c r="C54" s="14"/>
      <x:c r="D54" s="14"/>
      <x:c r="E54" s="14"/>
      <x:c r="F54" s="14"/>
      <x:c r="G54" s="14"/>
      <x:c r="H54" s="15"/>
    </x:row>
    <x:row r="55">
      <x:c r="A55" s="13"/>
      <x:c r="B55" s="14"/>
      <x:c r="C55" s="14"/>
      <x:c r="D55" s="14"/>
      <x:c r="E55" s="14"/>
      <x:c r="F55" s="14"/>
      <x:c r="G55" s="14"/>
      <x:c r="H55" s="15"/>
    </x:row>
    <x:row r="56">
      <x:c r="A56" s="13"/>
      <x:c r="B56" s="14"/>
      <x:c r="C56" s="14"/>
      <x:c r="D56" s="14"/>
      <x:c r="E56" s="14"/>
      <x:c r="F56" s="14"/>
      <x:c r="G56" s="14"/>
      <x:c r="H56" s="15"/>
    </x:row>
    <x:row r="57">
      <x:c r="A57" s="13"/>
      <x:c r="B57" s="14"/>
      <x:c r="C57" s="14"/>
      <x:c r="D57" s="14"/>
      <x:c r="E57" s="14"/>
      <x:c r="F57" s="14"/>
      <x:c r="G57" s="14"/>
      <x:c r="H57" s="15"/>
    </x:row>
    <x:row r="58">
      <x:c r="A58" s="13"/>
      <x:c r="B58" s="14"/>
      <x:c r="C58" s="14"/>
      <x:c r="D58" s="14"/>
      <x:c r="E58" s="14"/>
      <x:c r="F58" s="14"/>
      <x:c r="G58" s="14"/>
      <x:c r="H58" s="15"/>
    </x:row>
    <x:row r="59">
      <x:c r="A59" s="13"/>
      <x:c r="B59" s="14"/>
      <x:c r="C59" s="14"/>
      <x:c r="D59" s="14"/>
      <x:c r="E59" s="14"/>
      <x:c r="F59" s="14"/>
      <x:c r="G59" s="14"/>
      <x:c r="H59" s="15"/>
    </x:row>
    <x:row r="60">
      <x:c r="A60" s="16"/>
      <x:c r="B60" s="17"/>
      <x:c r="C60" s="17"/>
      <x:c r="D60" s="17"/>
      <x:c r="E60" s="17"/>
      <x:c r="F60" s="17"/>
      <x:c r="G60" s="17"/>
      <x:c r="H60" s="18"/>
    </x:row>
  </x:sheetData>
  <x:pageMargins left="0.7" right="0.7" top="0.75" bottom="0.75" header="0.3" footer="0.3"/>
</x:worksheet>
</file>