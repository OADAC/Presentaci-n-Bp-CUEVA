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Portada" sheetId="1" state="visible" r:id="rId1"/>
    <sheet xmlns:r="http://schemas.openxmlformats.org/officeDocument/2006/relationships" name="01_Supuestos" sheetId="2" state="visible" r:id="rId2"/>
    <sheet xmlns:r="http://schemas.openxmlformats.org/officeDocument/2006/relationships" name="02_Detalle_Ingresos" sheetId="3" state="visible" r:id="rId3"/>
    <sheet xmlns:r="http://schemas.openxmlformats.org/officeDocument/2006/relationships" name="03_Detalle_Personal" sheetId="4" state="visible" r:id="rId4"/>
    <sheet xmlns:r="http://schemas.openxmlformats.org/officeDocument/2006/relationships" name="04_OPEX_Operativo" sheetId="5" state="visible" r:id="rId5"/>
    <sheet xmlns:r="http://schemas.openxmlformats.org/officeDocument/2006/relationships" name="05_Detalle_OPEX" sheetId="6" state="visible" r:id="rId6"/>
    <sheet xmlns:r="http://schemas.openxmlformats.org/officeDocument/2006/relationships" name="06_Cuenta_Resultados" sheetId="7" state="visible" r:id="rId7"/>
    <sheet xmlns:r="http://schemas.openxmlformats.org/officeDocument/2006/relationships" name="07_Caja_CAPEX_WC" sheetId="8" state="visible" r:id="rId8"/>
    <sheet xmlns:r="http://schemas.openxmlformats.org/officeDocument/2006/relationships" name="08_Control" sheetId="9" state="visible" r:id="rId9"/>
    <sheet xmlns:r="http://schemas.openxmlformats.org/officeDocument/2006/relationships" name="09_Documentacion_Soporte" sheetId="10" state="visible" r:id="rId10"/>
    <sheet xmlns:r="http://schemas.openxmlformats.org/officeDocument/2006/relationships" name="10_Paquetes_Producto" sheetId="11" state="visible" r:id="rId11"/>
    <sheet xmlns:r="http://schemas.openxmlformats.org/officeDocument/2006/relationships" name="11_INV_Resumen_4_2M" sheetId="12" state="visible" r:id="rId12"/>
    <sheet xmlns:r="http://schemas.openxmlformats.org/officeDocument/2006/relationships" name="12_INV_Familias" sheetId="13" state="visible" r:id="rId13"/>
    <sheet xmlns:r="http://schemas.openxmlformats.org/officeDocument/2006/relationships" name="13_300K_Resumen" sheetId="14" state="visible" r:id="rId14"/>
    <sheet xmlns:r="http://schemas.openxmlformats.org/officeDocument/2006/relationships" name="14_300K_Uso_Fondos" sheetId="15" state="visible" r:id="rId15"/>
    <sheet xmlns:r="http://schemas.openxmlformats.org/officeDocument/2006/relationships" name="15_300K_Pipeline_2027" sheetId="16" state="visible" r:id="rId16"/>
    <sheet xmlns:r="http://schemas.openxmlformats.org/officeDocument/2006/relationships" name="16_300K_Puente_Escala" sheetId="17" state="visible" r:id="rId17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%;[Red](0.0%);-"/>
    <numFmt numFmtId="166" formatCode="#,##0;[Red](#,##0);-"/>
  </numFmts>
  <fonts count="9">
    <font>
      <name val="Carlito"/>
      <sz val="11"/>
    </font>
    <font>
      <name val="Arial"/>
      <color rgb="FF26323F"/>
      <sz val="10"/>
    </font>
    <font>
      <name val="Arial"/>
      <b val="1"/>
      <color rgb="FFFFFFFF"/>
      <sz val="16"/>
    </font>
    <font>
      <name val="Arial"/>
      <i val="1"/>
      <color rgb="FF0B1F33"/>
      <sz val="10"/>
    </font>
    <font>
      <name val="Arial"/>
      <b val="1"/>
      <color rgb="FFFFFFFF"/>
      <sz val="10"/>
    </font>
    <font>
      <name val="Arial"/>
      <b val="1"/>
      <color rgb="FF0B1F33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26323F"/>
      <sz val="10"/>
    </font>
  </fonts>
  <fills count="7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EAF2F8"/>
      </patternFill>
    </fill>
    <fill>
      <patternFill patternType="solid">
        <fgColor rgb="FFE9F6F1"/>
      </patternFill>
    </fill>
    <fill>
      <patternFill patternType="solid">
        <fgColor rgb="FF123C55"/>
      </patternFill>
    </fill>
    <fill>
      <patternFill patternType="solid">
        <fgColor rgb="FFFFF3DB"/>
      </patternFill>
    </fill>
  </fills>
  <borders count="32">
    <border/>
    <border>
      <right style="thin">
        <color rgb="FFD5DEE6"/>
      </right>
      <bottom style="thin">
        <color rgb="FFD5DEE6"/>
      </bottom>
    </border>
    <border>
      <left style="thin">
        <color rgb="FFD5DEE6"/>
      </left>
      <right style="thin">
        <color rgb="FFD5DEE6"/>
      </right>
      <bottom style="thin">
        <color rgb="FFD5DEE6"/>
      </bottom>
    </border>
    <border>
      <left style="thin">
        <color rgb="FFD5DEE6"/>
      </left>
      <bottom style="thin">
        <color rgb="FFD5DEE6"/>
      </bottom>
    </border>
    <border>
      <right style="thin">
        <color rgb="FFD5DEE6"/>
      </right>
      <top style="thin">
        <color rgb="FFD5DEE6"/>
      </top>
      <bottom style="thin">
        <color rgb="FFD5DEE6"/>
      </bottom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D5DEE6"/>
      </bottom>
    </border>
    <border>
      <left style="thin">
        <color rgb="FFD5DEE6"/>
      </left>
      <top style="thin">
        <color rgb="FFD5DEE6"/>
      </top>
      <bottom style="thin">
        <color rgb="FFD5DEE6"/>
      </bottom>
    </border>
    <border>
      <right style="thin">
        <color rgb="FFD5DEE6"/>
      </right>
      <top style="thin">
        <color rgb="FFD5DEE6"/>
      </top>
    </border>
    <border>
      <left style="thin">
        <color rgb="FFD5DEE6"/>
      </left>
      <right style="thin">
        <color rgb="FFD5DEE6"/>
      </right>
      <top style="thin">
        <color rgb="FFD5DEE6"/>
      </top>
    </border>
    <border>
      <left style="thin">
        <color rgb="FFD5DEE6"/>
      </left>
      <top style="thin">
        <color rgb="FFD5DEE6"/>
      </top>
    </border>
    <border>
      <left style="thin">
        <color rgb="FF159A76"/>
      </left>
      <right style="thin">
        <color rgb="FFD5DEE6"/>
      </right>
      <top style="thin">
        <color rgb="FF159A76"/>
      </top>
      <bottom style="thin">
        <color rgb="FFD5DEE6"/>
      </bottom>
    </border>
    <border>
      <left style="thin">
        <color rgb="FFD5DEE6"/>
      </left>
      <right style="thin">
        <color rgb="FFD5DEE6"/>
      </right>
      <top style="thin">
        <color rgb="FF159A76"/>
      </top>
      <bottom style="thin">
        <color rgb="FFD5DEE6"/>
      </bottom>
    </border>
    <border>
      <left style="thin">
        <color rgb="FFD5DEE6"/>
      </left>
      <right style="thin">
        <color rgb="FF159A76"/>
      </right>
      <top style="thin">
        <color rgb="FF159A76"/>
      </top>
      <bottom style="thin">
        <color rgb="FFD5DEE6"/>
      </bottom>
    </border>
    <border>
      <left style="thin">
        <color rgb="FF159A76"/>
      </left>
      <right style="thin">
        <color rgb="FFD5DEE6"/>
      </right>
      <top style="thin">
        <color rgb="FFD5DEE6"/>
      </top>
      <bottom style="thin">
        <color rgb="FFD5DEE6"/>
      </bottom>
    </border>
    <border>
      <left style="thin">
        <color rgb="FFD5DEE6"/>
      </left>
      <right style="thin">
        <color rgb="FF159A76"/>
      </right>
      <top style="thin">
        <color rgb="FFD5DEE6"/>
      </top>
      <bottom style="thin">
        <color rgb="FFD5DEE6"/>
      </bottom>
    </border>
    <border>
      <left style="thin">
        <color rgb="FF159A76"/>
      </left>
      <right style="thin">
        <color rgb="FFD5DEE6"/>
      </right>
      <top style="thin">
        <color rgb="FFD5DEE6"/>
      </top>
      <bottom style="thin">
        <color rgb="FF159A76"/>
      </bottom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159A76"/>
      </bottom>
    </border>
    <border>
      <left style="thin">
        <color rgb="FFD5DEE6"/>
      </left>
      <right style="thin">
        <color rgb="FF159A76"/>
      </right>
      <top style="thin">
        <color rgb="FFD5DEE6"/>
      </top>
      <bottom style="thin">
        <color rgb="FF159A76"/>
      </bottom>
    </border>
    <border>
      <left style="thin">
        <color rgb="FF0B1F33"/>
      </left>
      <top style="thin">
        <color rgb="FF0B1F33"/>
      </top>
      <bottom style="thin">
        <color rgb="FF0B1F33"/>
      </bottom>
    </border>
    <border>
      <top style="thin">
        <color rgb="FF0B1F33"/>
      </top>
      <bottom style="thin">
        <color rgb="FF0B1F33"/>
      </bottom>
    </border>
    <border>
      <right style="thin">
        <color rgb="FF0B1F33"/>
      </right>
      <top style="thin">
        <color rgb="FF0B1F33"/>
      </top>
      <bottom style="thin">
        <color rgb="FF0B1F33"/>
      </bottom>
    </border>
    <border>
      <left style="thin">
        <color rgb="FF159A76"/>
      </left>
      <top style="thin">
        <color rgb="FF159A76"/>
      </top>
      <bottom style="thin">
        <color rgb="FF159A76"/>
      </bottom>
    </border>
    <border>
      <top style="thin">
        <color rgb="FF159A76"/>
      </top>
      <bottom style="thin">
        <color rgb="FF159A76"/>
      </bottom>
    </border>
    <border>
      <right style="thin">
        <color rgb="FF159A76"/>
      </right>
      <top style="thin">
        <color rgb="FF159A76"/>
      </top>
      <bottom style="thin">
        <color rgb="FF159A76"/>
      </bottom>
    </border>
    <border>
      <left style="thin">
        <color rgb="FF159A76"/>
      </left>
      <top style="thin">
        <color rgb="FF159A76"/>
      </top>
    </border>
    <border>
      <top style="thin">
        <color rgb="FF159A76"/>
      </top>
    </border>
    <border>
      <right style="thin">
        <color rgb="FF159A76"/>
      </right>
      <top style="thin">
        <color rgb="FF159A76"/>
      </top>
    </border>
    <border>
      <left style="thin">
        <color rgb="FF159A76"/>
      </left>
      <bottom style="thin">
        <color rgb="FF159A76"/>
      </bottom>
    </border>
    <border>
      <bottom style="thin">
        <color rgb="FF159A76"/>
      </bottom>
    </border>
    <border>
      <right style="thin">
        <color rgb="FF159A76"/>
      </right>
      <bottom style="thin">
        <color rgb="FF159A76"/>
      </bottom>
    </border>
    <border>
      <left style="thin">
        <color rgb="FF159A76"/>
      </left>
    </border>
    <border>
      <right style="thin">
        <color rgb="FF159A76"/>
      </right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1" fillId="3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4" borderId="2" pivotButton="0" quotePrefix="0" xfId="0"/>
    <xf numFmtId="0" fontId="1" fillId="4" borderId="3" pivotButton="0" quotePrefix="0" xfId="0"/>
    <xf numFmtId="0" fontId="1" fillId="4" borderId="5" pivotButton="0" quotePrefix="0" xfId="0"/>
    <xf numFmtId="0" fontId="1" fillId="4" borderId="6" pivotButton="0" quotePrefix="0" xfId="0"/>
    <xf numFmtId="0" fontId="5" fillId="4" borderId="2" pivotButton="0" quotePrefix="0" xfId="0"/>
    <xf numFmtId="0" fontId="5" fillId="4" borderId="3" pivotButton="0" quotePrefix="0" xfId="0"/>
    <xf numFmtId="0" fontId="5" fillId="4" borderId="5" pivotButton="0" quotePrefix="0" xfId="0"/>
    <xf numFmtId="0" fontId="5" fillId="4" borderId="6" pivotButton="0" quotePrefix="0" xfId="0"/>
    <xf numFmtId="164" fontId="5" fillId="4" borderId="2" pivotButton="0" quotePrefix="0" xfId="0"/>
    <xf numFmtId="164" fontId="5" fillId="4" borderId="3" pivotButton="0" quotePrefix="0" xfId="0"/>
    <xf numFmtId="164" fontId="5" fillId="4" borderId="5" pivotButton="0" quotePrefix="0" xfId="0"/>
    <xf numFmtId="164" fontId="5" fillId="4" borderId="6" pivotButton="0" quotePrefix="0" xfId="0"/>
    <xf numFmtId="164" fontId="5" fillId="4" borderId="10" pivotButton="0" quotePrefix="0" xfId="0"/>
    <xf numFmtId="164" fontId="5" fillId="4" borderId="11" pivotButton="0" quotePrefix="0" xfId="0"/>
    <xf numFmtId="164" fontId="5" fillId="4" borderId="12" pivotButton="0" quotePrefix="0" xfId="0"/>
    <xf numFmtId="164" fontId="5" fillId="4" borderId="13" pivotButton="0" quotePrefix="0" xfId="0"/>
    <xf numFmtId="164" fontId="5" fillId="4" borderId="14" pivotButton="0" quotePrefix="0" xfId="0"/>
    <xf numFmtId="164" fontId="5" fillId="4" borderId="15" pivotButton="0" quotePrefix="0" xfId="0"/>
    <xf numFmtId="164" fontId="5" fillId="4" borderId="16" pivotButton="0" quotePrefix="0" xfId="0"/>
    <xf numFmtId="164" fontId="5" fillId="4" borderId="17" pivotButton="0" quotePrefix="0" xfId="0"/>
    <xf numFmtId="165" fontId="5" fillId="4" borderId="5" pivotButton="0" quotePrefix="0" xfId="0"/>
    <xf numFmtId="166" fontId="5" fillId="4" borderId="5" pivotButton="0" quotePrefix="0" xfId="0"/>
    <xf numFmtId="0" fontId="1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2" pivotButton="0" quotePrefix="0" xfId="0"/>
    <xf numFmtId="0" fontId="4" fillId="5" borderId="3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4" fontId="6" fillId="0" borderId="0" pivotButton="0" quotePrefix="0" xfId="0"/>
    <xf numFmtId="166" fontId="1" fillId="0" borderId="0" pivotButton="0" quotePrefix="0" xfId="0"/>
    <xf numFmtId="0" fontId="4" fillId="2" borderId="18" pivotButton="0" quotePrefix="0" xfId="0"/>
    <xf numFmtId="0" fontId="4" fillId="2" borderId="19" pivotButton="0" quotePrefix="0" xfId="0"/>
    <xf numFmtId="0" fontId="4" fillId="2" borderId="20" pivotButton="0" quotePrefix="0" xfId="0"/>
    <xf numFmtId="49" fontId="4" fillId="2" borderId="19" pivotButton="0" quotePrefix="0" xfId="0"/>
    <xf numFmtId="165" fontId="6" fillId="0" borderId="0" pivotButton="0" quotePrefix="0" xfId="0"/>
    <xf numFmtId="0" fontId="1" fillId="4" borderId="0" pivotButton="0" quotePrefix="0" xfId="0"/>
    <xf numFmtId="0" fontId="5" fillId="4" borderId="0" pivotButton="0" quotePrefix="0" xfId="0"/>
    <xf numFmtId="164" fontId="5" fillId="4" borderId="0" pivotButton="0" quotePrefix="0" xfId="0"/>
    <xf numFmtId="164" fontId="5" fillId="4" borderId="21" pivotButton="0" quotePrefix="0" xfId="0"/>
    <xf numFmtId="164" fontId="5" fillId="4" borderId="22" pivotButton="0" quotePrefix="0" xfId="0"/>
    <xf numFmtId="164" fontId="5" fillId="4" borderId="23" pivotButton="0" quotePrefix="0" xfId="0"/>
    <xf numFmtId="0" fontId="7" fillId="0" borderId="0" pivotButton="0" quotePrefix="0" xfId="0"/>
    <xf numFmtId="164" fontId="7" fillId="0" borderId="0" pivotButton="0" quotePrefix="0" xfId="0"/>
    <xf numFmtId="164" fontId="7" fillId="4" borderId="0" pivotButton="0" quotePrefix="0" xfId="0"/>
    <xf numFmtId="164" fontId="1" fillId="0" borderId="0" pivotButton="0" quotePrefix="0" xfId="0"/>
    <xf numFmtId="164" fontId="1" fillId="4" borderId="0" pivotButton="0" quotePrefix="0" xfId="0"/>
    <xf numFmtId="165" fontId="1" fillId="0" borderId="0" pivotButton="0" quotePrefix="0" xfId="0"/>
    <xf numFmtId="164" fontId="5" fillId="4" borderId="24" pivotButton="0" quotePrefix="0" xfId="0"/>
    <xf numFmtId="164" fontId="5" fillId="4" borderId="25" pivotButton="0" quotePrefix="0" xfId="0"/>
    <xf numFmtId="164" fontId="5" fillId="4" borderId="26" pivotButton="0" quotePrefix="0" xfId="0"/>
    <xf numFmtId="164" fontId="5" fillId="4" borderId="27" pivotButton="0" quotePrefix="0" xfId="0"/>
    <xf numFmtId="164" fontId="5" fillId="4" borderId="28" pivotButton="0" quotePrefix="0" xfId="0"/>
    <xf numFmtId="164" fontId="5" fillId="4" borderId="29" pivotButton="0" quotePrefix="0" xfId="0"/>
    <xf numFmtId="165" fontId="7" fillId="0" borderId="0" pivotButton="0" quotePrefix="0" xfId="0"/>
    <xf numFmtId="0" fontId="8" fillId="0" borderId="0" pivotButton="0" quotePrefix="0" xfId="0"/>
    <xf numFmtId="0" fontId="8" fillId="4" borderId="0" pivotButton="0" quotePrefix="0" xfId="0"/>
    <xf numFmtId="164" fontId="5" fillId="4" borderId="30" pivotButton="0" quotePrefix="0" xfId="0"/>
    <xf numFmtId="164" fontId="5" fillId="4" borderId="31" pivotButton="0" quotePrefix="0" xfId="0"/>
    <xf numFmtId="164" fontId="5" fillId="4" borderId="24" applyAlignment="1" pivotButton="0" quotePrefix="0" xfId="0">
      <alignment wrapText="1"/>
    </xf>
    <xf numFmtId="164" fontId="5" fillId="4" borderId="25" applyAlignment="1" pivotButton="0" quotePrefix="0" xfId="0">
      <alignment wrapText="1"/>
    </xf>
    <xf numFmtId="164" fontId="5" fillId="4" borderId="26" applyAlignment="1" pivotButton="0" quotePrefix="0" xfId="0">
      <alignment wrapText="1"/>
    </xf>
    <xf numFmtId="164" fontId="5" fillId="4" borderId="30" applyAlignment="1" pivotButton="0" quotePrefix="0" xfId="0">
      <alignment wrapText="1"/>
    </xf>
    <xf numFmtId="164" fontId="5" fillId="4" borderId="0" applyAlignment="1" pivotButton="0" quotePrefix="0" xfId="0">
      <alignment wrapText="1"/>
    </xf>
    <xf numFmtId="164" fontId="5" fillId="4" borderId="31" applyAlignment="1" pivotButton="0" quotePrefix="0" xfId="0">
      <alignment wrapText="1"/>
    </xf>
    <xf numFmtId="164" fontId="5" fillId="4" borderId="27" applyAlignment="1" pivotButton="0" quotePrefix="0" xfId="0">
      <alignment wrapText="1"/>
    </xf>
    <xf numFmtId="164" fontId="5" fillId="4" borderId="28" applyAlignment="1" pivotButton="0" quotePrefix="0" xfId="0">
      <alignment wrapText="1"/>
    </xf>
    <xf numFmtId="164" fontId="5" fillId="4" borderId="29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4" fillId="2" borderId="18" applyAlignment="1" pivotButton="0" quotePrefix="0" xfId="0">
      <alignment wrapText="1"/>
    </xf>
    <xf numFmtId="0" fontId="4" fillId="2" borderId="19" applyAlignment="1" pivotButton="0" quotePrefix="0" xfId="0">
      <alignment wrapText="1"/>
    </xf>
    <xf numFmtId="0" fontId="4" fillId="2" borderId="2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164" fontId="1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164" fontId="5" fillId="4" borderId="21" applyAlignment="1" pivotButton="0" quotePrefix="0" xfId="0">
      <alignment wrapText="1"/>
    </xf>
    <xf numFmtId="164" fontId="5" fillId="4" borderId="22" applyAlignment="1" pivotButton="0" quotePrefix="0" xfId="0">
      <alignment wrapText="1"/>
    </xf>
    <xf numFmtId="164" fontId="5" fillId="4" borderId="23" applyAlignment="1" pivotButton="0" quotePrefix="0" xfId="0">
      <alignment wrapText="1"/>
    </xf>
    <xf numFmtId="165" fontId="1" fillId="4" borderId="0" pivotButton="0" quotePrefix="0" xfId="0"/>
    <xf numFmtId="165" fontId="5" fillId="4" borderId="0" pivotButton="0" quotePrefix="0" xfId="0"/>
    <xf numFmtId="165" fontId="1" fillId="0" borderId="0" applyAlignment="1" pivotButton="0" quotePrefix="0" xfId="0">
      <alignment wrapText="1"/>
    </xf>
    <xf numFmtId="0" fontId="1" fillId="6" borderId="0" pivotButton="0" quotePrefix="0" xfId="0"/>
    <xf numFmtId="0" fontId="5" fillId="6" borderId="0" pivotButton="0" quotePrefix="0" xfId="0"/>
    <xf numFmtId="166" fontId="1" fillId="0" borderId="0" applyAlignment="1" pivotButton="0" quotePrefix="0" xfId="0">
      <alignment wrapText="1"/>
    </xf>
    <xf numFmtId="0" fontId="5" fillId="6" borderId="0" applyAlignment="1" pivotButton="0" quotePrefix="0" xfId="0">
      <alignment wrapText="1"/>
    </xf>
    <xf numFmtId="0" fontId="2" fillId="2" borderId="1" pivotButton="0" quotePrefix="0" xfId="0"/>
    <xf numFmtId="0" fontId="2" fillId="2" borderId="2" pivotButton="0" quotePrefix="0" xfId="0"/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3" fillId="3" borderId="4" pivotButton="0" quotePrefix="0" xfId="0"/>
    <xf numFmtId="0" fontId="3" fillId="3" borderId="5" pivotButton="0" quotePrefix="0" xfId="0"/>
    <xf numFmtId="0" fontId="3" fillId="3" borderId="6" pivotButton="0" quotePrefix="0" xfId="0"/>
    <xf numFmtId="0" fontId="4" fillId="2" borderId="4" pivotButton="0" quotePrefix="0" xfId="0"/>
    <xf numFmtId="0" fontId="4" fillId="2" borderId="5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166" fontId="1" fillId="0" borderId="5" pivotButton="0" quotePrefix="0" xfId="0"/>
    <xf numFmtId="164" fontId="6" fillId="0" borderId="5" pivotButton="0" quotePrefix="0" xfId="0"/>
    <xf numFmtId="49" fontId="4" fillId="2" borderId="5" pivotButton="0" quotePrefix="0" xfId="0"/>
    <xf numFmtId="165" fontId="6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2" borderId="6" pivotButton="0" quotePrefix="0" xfId="0"/>
    <xf numFmtId="164" fontId="5" fillId="4" borderId="4" pivotButton="0" quotePrefix="0" xfId="0"/>
    <xf numFmtId="164" fontId="7" fillId="0" borderId="5" pivotButton="0" quotePrefix="0" xfId="0"/>
    <xf numFmtId="0" fontId="2" fillId="2" borderId="3" pivotButton="0" quotePrefix="0" xfId="0"/>
    <xf numFmtId="164" fontId="1" fillId="0" borderId="5" pivotButton="0" quotePrefix="0" xfId="0"/>
    <xf numFmtId="164" fontId="1" fillId="0" borderId="6" pivotButton="0" quotePrefix="0" xfId="0"/>
    <xf numFmtId="165" fontId="1" fillId="0" borderId="5" pivotButton="0" quotePrefix="0" xfId="0"/>
    <xf numFmtId="165" fontId="7" fillId="0" borderId="5" pivotButton="0" quotePrefix="0" xfId="0"/>
    <xf numFmtId="0" fontId="8" fillId="0" borderId="5" pivotButton="0" quotePrefix="0" xfId="0"/>
    <xf numFmtId="164" fontId="5" fillId="4" borderId="4" applyAlignment="1" pivotButton="0" quotePrefix="0" xfId="0">
      <alignment wrapText="1"/>
    </xf>
    <xf numFmtId="164" fontId="5" fillId="4" borderId="5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4" fillId="5" borderId="4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2" borderId="4" applyAlignment="1" pivotButton="0" quotePrefix="0" xfId="0">
      <alignment wrapText="1"/>
    </xf>
    <xf numFmtId="0" fontId="4" fillId="2" borderId="5" applyAlignment="1" pivotButton="0" quotePrefix="0" xfId="0">
      <alignment wrapText="1"/>
    </xf>
    <xf numFmtId="0" fontId="4" fillId="2" borderId="6" applyAlignment="1" pivotButton="0" quotePrefix="0" xfId="0">
      <alignment wrapText="1"/>
    </xf>
    <xf numFmtId="164" fontId="1" fillId="0" borderId="5" applyAlignment="1" pivotButton="0" quotePrefix="0" xfId="0">
      <alignment wrapText="1"/>
    </xf>
    <xf numFmtId="164" fontId="5" fillId="4" borderId="6" applyAlignment="1" pivotButton="0" quotePrefix="0" xfId="0">
      <alignment wrapText="1"/>
    </xf>
    <xf numFmtId="165" fontId="1" fillId="0" borderId="5" applyAlignment="1" pivotButton="0" quotePrefix="0" xfId="0">
      <alignment wrapText="1"/>
    </xf>
    <xf numFmtId="166" fontId="1" fillId="0" borderId="5" applyAlignment="1" pivotButton="0" quotePrefix="0" xfId="0">
      <alignment wrapText="1"/>
    </xf>
    <xf numFmtId="0" fontId="5" fillId="6" borderId="4" applyAlignment="1" pivotButton="0" quotePrefix="0" xfId="0">
      <alignment wrapText="1"/>
    </xf>
    <xf numFmtId="164" fontId="5" fillId="4" borderId="5" pivotButton="0" quotePrefix="0" xfId="0"/>
    <xf numFmtId="165" fontId="5" fillId="4" borderId="5" pivotButton="0" quotePrefix="0" xfId="0"/>
    <xf numFmtId="166" fontId="5" fillId="4" borderId="5" pivotButton="0" quotePrefix="0" xfId="0"/>
    <xf numFmtId="166" fontId="1" fillId="0" borderId="5" pivotButton="0" quotePrefix="0" xfId="0"/>
    <xf numFmtId="164" fontId="6" fillId="0" borderId="5" pivotButton="0" quotePrefix="0" xfId="0"/>
    <xf numFmtId="49" fontId="4" fillId="2" borderId="5" pivotButton="0" quotePrefix="0" xfId="0"/>
    <xf numFmtId="165" fontId="6" fillId="0" borderId="5" pivotButton="0" quotePrefix="0" xfId="0"/>
    <xf numFmtId="164" fontId="5" fillId="4" borderId="4" pivotButton="0" quotePrefix="0" xfId="0"/>
    <xf numFmtId="164" fontId="5" fillId="4" borderId="6" pivotButton="0" quotePrefix="0" xfId="0"/>
    <xf numFmtId="164" fontId="7" fillId="0" borderId="5" pivotButton="0" quotePrefix="0" xfId="0"/>
    <xf numFmtId="164" fontId="1" fillId="0" borderId="5" pivotButton="0" quotePrefix="0" xfId="0"/>
    <xf numFmtId="164" fontId="1" fillId="0" borderId="6" pivotButton="0" quotePrefix="0" xfId="0"/>
    <xf numFmtId="165" fontId="1" fillId="0" borderId="5" pivotButton="0" quotePrefix="0" xfId="0"/>
    <xf numFmtId="165" fontId="7" fillId="0" borderId="5" pivotButton="0" quotePrefix="0" xfId="0"/>
    <xf numFmtId="164" fontId="5" fillId="4" borderId="4" applyAlignment="1" pivotButton="0" quotePrefix="0" xfId="0">
      <alignment wrapText="1"/>
    </xf>
    <xf numFmtId="164" fontId="5" fillId="4" borderId="5" applyAlignment="1" pivotButton="0" quotePrefix="0" xfId="0">
      <alignment wrapText="1"/>
    </xf>
    <xf numFmtId="164" fontId="1" fillId="0" borderId="5" applyAlignment="1" pivotButton="0" quotePrefix="0" xfId="0">
      <alignment wrapText="1"/>
    </xf>
    <xf numFmtId="164" fontId="5" fillId="4" borderId="6" applyAlignment="1" pivotButton="0" quotePrefix="0" xfId="0">
      <alignment wrapText="1"/>
    </xf>
    <xf numFmtId="165" fontId="1" fillId="0" borderId="5" applyAlignment="1" pivotButton="0" quotePrefix="0" xfId="0">
      <alignment wrapText="1"/>
    </xf>
    <xf numFmtId="166" fontId="1" fillId="0" borderId="5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28" customWidth="1" min="4" max="4"/>
    <col width="18" customWidth="1" min="5" max="5"/>
    <col width="34" customWidth="1" min="6" max="6"/>
    <col width="34" customWidth="1" min="7" max="7"/>
    <col width="34" customWidth="1" min="8" max="8"/>
  </cols>
  <sheetData>
    <row r="1">
      <c r="A1" s="107" t="inlineStr">
        <is>
          <t>CUEVA - Modelo financiero definitivo</t>
        </is>
      </c>
      <c r="B1" s="108" t="str"/>
      <c r="C1" s="108" t="str"/>
      <c r="D1" s="108" t="str"/>
      <c r="E1" s="108" t="str"/>
      <c r="F1" s="109" t="str"/>
      <c r="G1" s="109" t="str"/>
      <c r="H1" s="110" t="str"/>
    </row>
    <row r="2">
      <c r="A2" s="111" t="inlineStr">
        <is>
          <t>Motor 2030, inversion acumulada 4,2M y plan 26/27 de 300K en pestañas separadas.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Convencion</t>
        </is>
      </c>
      <c r="B5" s="115" t="inlineStr">
        <is>
          <t>Valor</t>
        </is>
      </c>
      <c r="C5" s="115" t="str"/>
      <c r="D5" s="115" t="inlineStr">
        <is>
          <t>Output clave</t>
        </is>
      </c>
      <c r="E5" s="115" t="inlineStr">
        <is>
          <t>Valor</t>
        </is>
      </c>
      <c r="F5" s="115" t="inlineStr">
        <is>
          <t>Notas</t>
        </is>
      </c>
      <c r="G5" s="14" t="n"/>
      <c r="H5" s="15" t="n"/>
    </row>
    <row r="6">
      <c r="A6" s="13" t="inlineStr">
        <is>
          <t>Documento</t>
        </is>
      </c>
      <c r="B6" s="14" t="inlineStr">
        <is>
          <t>Modelo financiero definitivo</t>
        </is>
      </c>
      <c r="C6" s="14" t="str"/>
      <c r="D6" s="154" t="inlineStr">
        <is>
          <t>Ingresos 2030</t>
        </is>
      </c>
      <c r="E6" s="154">
        <f>'02_Detalle_Ingresos'!E42</f>
        <v/>
      </c>
      <c r="F6" s="154" t="inlineStr">
        <is>
          <t>Desde 02_Detalle_Ingresos</t>
        </is>
      </c>
      <c r="G6" s="14" t="n"/>
      <c r="H6" s="15" t="n"/>
    </row>
    <row r="7">
      <c r="A7" s="13" t="inlineStr">
        <is>
          <t>Fecha</t>
        </is>
      </c>
      <c r="B7" s="14" t="inlineStr">
        <is>
          <t>2026-07-16</t>
        </is>
      </c>
      <c r="C7" s="14" t="str"/>
      <c r="D7" s="154" t="inlineStr">
        <is>
          <t>EBITDA 2030</t>
        </is>
      </c>
      <c r="E7" s="154">
        <f>'06_Cuenta_Resultados'!E22</f>
        <v/>
      </c>
      <c r="F7" s="154" t="inlineStr">
        <is>
          <t>Desde 06_Cuenta_Resultados</t>
        </is>
      </c>
      <c r="G7" s="14" t="n"/>
      <c r="H7" s="15" t="n"/>
    </row>
    <row r="8">
      <c r="A8" s="13" t="inlineStr">
        <is>
          <t>Moneda</t>
        </is>
      </c>
      <c r="B8" s="14" t="inlineStr">
        <is>
          <t>EUR M salvo indicacion</t>
        </is>
      </c>
      <c r="C8" s="14" t="str"/>
      <c r="D8" s="154" t="inlineStr">
        <is>
          <t>Resultado neto 2030</t>
        </is>
      </c>
      <c r="E8" s="154">
        <f>'06_Cuenta_Resultados'!E29</f>
        <v/>
      </c>
      <c r="F8" s="154" t="inlineStr">
        <is>
          <t>Despues de amortizacion, financiero e impuestos</t>
        </is>
      </c>
      <c r="G8" s="14" t="n"/>
      <c r="H8" s="15" t="n"/>
    </row>
    <row r="9">
      <c r="A9" s="13" t="inlineStr">
        <is>
          <t>Eje temporal</t>
        </is>
      </c>
      <c r="B9" s="14" t="inlineStr">
        <is>
          <t>2026/27 + 2028-2030</t>
        </is>
      </c>
      <c r="C9" s="14" t="str"/>
      <c r="D9" s="154" t="inlineStr">
        <is>
          <t>Margen EBITDA 2030</t>
        </is>
      </c>
      <c r="E9" s="155">
        <f>'06_Cuenta_Resultados'!E23</f>
        <v/>
      </c>
      <c r="F9" s="154" t="inlineStr">
        <is>
          <t>EBITDA / ingresos</t>
        </is>
      </c>
      <c r="G9" s="14" t="n"/>
      <c r="H9" s="15" t="n"/>
    </row>
    <row r="10">
      <c r="A10" s="13" t="inlineStr">
        <is>
          <t>Escenario</t>
        </is>
      </c>
      <c r="B10" s="14" t="inlineStr">
        <is>
          <t>Management / Scale revisado</t>
        </is>
      </c>
      <c r="C10" s="14" t="str"/>
      <c r="D10" s="154" t="inlineStr">
        <is>
          <t>m2 objetivo acumulado</t>
        </is>
      </c>
      <c r="E10" s="156">
        <f>'01_Supuestos'!B5</f>
        <v/>
      </c>
      <c r="F10" s="154" t="inlineStr">
        <is>
          <t>Curva base original ajustada por tramo 300k</t>
        </is>
      </c>
      <c r="G10" s="14" t="n"/>
      <c r="H10" s="15" t="n"/>
    </row>
    <row r="11">
      <c r="A11" s="13" t="inlineStr">
        <is>
          <t>Modelo</t>
        </is>
      </c>
      <c r="B11" s="14" t="inlineStr">
        <is>
          <t>Plan 2030 separado de inversion acumulada y plan 300K</t>
        </is>
      </c>
      <c r="C11" s="14" t="str"/>
      <c r="D11" s="154" t="inlineStr">
        <is>
          <t>Estado modelo</t>
        </is>
      </c>
      <c r="E11" s="154">
        <f>'08_Control'!E16</f>
        <v/>
      </c>
      <c r="F11" s="154" t="inlineStr">
        <is>
          <t>Desde 08_Control</t>
        </is>
      </c>
      <c r="G11" s="14" t="n"/>
      <c r="H11" s="15" t="n"/>
    </row>
    <row r="12">
      <c r="A12" s="13" t="str"/>
      <c r="B12" s="14" t="str"/>
      <c r="C12" s="14" t="str"/>
      <c r="D12" s="154" t="str"/>
      <c r="E12" s="154" t="str"/>
      <c r="F12" s="154" t="str"/>
      <c r="G12" s="14" t="n"/>
      <c r="H12" s="15" t="n"/>
    </row>
    <row r="13">
      <c r="A13" s="13" t="inlineStr">
        <is>
          <t>Lectura</t>
        </is>
      </c>
      <c r="B13" s="14" t="inlineStr">
        <is>
          <t>El tramo 2026/27 agrupa lanzamiento y validacion comercial; 2028-2030 escalan red, producto y recurrencia.</t>
        </is>
      </c>
      <c r="C13" s="14" t="str"/>
      <c r="D13" s="14" t="str"/>
      <c r="E13" s="14" t="str"/>
      <c r="F13" s="14" t="str"/>
      <c r="G13" s="14" t="n"/>
      <c r="H13" s="15" t="n"/>
    </row>
    <row r="14">
      <c r="A14" s="13" t="n"/>
      <c r="B14" s="14" t="n"/>
      <c r="C14" s="14" t="n"/>
      <c r="D14" s="14" t="n"/>
      <c r="E14" s="14" t="n"/>
      <c r="F14" s="14" t="n"/>
      <c r="G14" s="14" t="n"/>
      <c r="H14" s="15" t="n"/>
    </row>
    <row r="15">
      <c r="A15" s="116" t="inlineStr">
        <is>
          <t>Contenido del modelo definitivo</t>
        </is>
      </c>
      <c r="B15" s="117" t="str"/>
      <c r="C15" s="117" t="str"/>
      <c r="D15" s="117" t="str"/>
      <c r="E15" s="117" t="str"/>
      <c r="F15" s="117" t="str"/>
      <c r="G15" s="117" t="str"/>
      <c r="H15" s="118" t="str"/>
    </row>
    <row r="16">
      <c r="A16" s="13" t="inlineStr">
        <is>
          <t>1</t>
        </is>
      </c>
      <c r="B16" s="14" t="inlineStr">
        <is>
          <t>Hojas, etiquetas y navegacion en castellano.</t>
        </is>
      </c>
      <c r="C16" s="14" t="str"/>
      <c r="D16" s="14" t="str"/>
      <c r="E16" s="14" t="str"/>
      <c r="F16" s="14" t="str"/>
      <c r="G16" s="14" t="str"/>
      <c r="H16" s="15" t="str"/>
    </row>
    <row r="17">
      <c r="A17" s="13" t="inlineStr">
        <is>
          <t>2</t>
        </is>
      </c>
      <c r="B17" s="14" t="inlineStr">
        <is>
          <t>Cuenta de resultados completa: ingresos, margen bruto, OPEX, EBITDA, amortizacion, resultado financiero, impuestos y resultado neto.</t>
        </is>
      </c>
      <c r="C17" s="14" t="str"/>
      <c r="D17" s="14" t="str"/>
      <c r="E17" s="14" t="str"/>
      <c r="F17" s="14" t="str"/>
      <c r="G17" s="14" t="str"/>
      <c r="H17" s="15" t="str"/>
    </row>
    <row r="18">
      <c r="A18" s="13" t="inlineStr">
        <is>
          <t>3</t>
        </is>
      </c>
      <c r="B18" s="14" t="inlineStr">
        <is>
          <t>OPEX operativo desarrollado por driver: plataforma, IA/API, ciberseguridad, kits de campo, QA, soporte, GTM, legal, finanzas y reserva.</t>
        </is>
      </c>
      <c r="C18" s="14" t="str"/>
      <c r="D18" s="14" t="str"/>
      <c r="E18" s="14" t="str"/>
      <c r="F18" s="14" t="str"/>
      <c r="G18" s="14" t="str"/>
      <c r="H18" s="15" t="str"/>
    </row>
    <row r="19">
      <c r="A19" s="13" t="inlineStr">
        <is>
          <t>4</t>
        </is>
      </c>
      <c r="B19" s="14" t="inlineStr">
        <is>
          <t>Detalle de personal por departamento, perfil, sueldo medio y FTE.</t>
        </is>
      </c>
      <c r="C19" s="14" t="str"/>
      <c r="D19" s="14" t="str"/>
      <c r="E19" s="14" t="str"/>
      <c r="F19" s="14" t="str"/>
      <c r="G19" s="14" t="str"/>
      <c r="H19" s="15" t="str"/>
    </row>
    <row r="20">
      <c r="A20" s="13" t="inlineStr">
        <is>
          <t>5</t>
        </is>
      </c>
      <c r="B20" s="14" t="inlineStr">
        <is>
          <t>Detalle de ingresos por digitalizacion, fees de red, POI, DPP, recurrencia, datos, marketplace, iPath, Moolde, internacional y capa financiera.</t>
        </is>
      </c>
      <c r="C20" s="14" t="str"/>
      <c r="D20" s="14" t="str"/>
      <c r="E20" s="14" t="str"/>
      <c r="F20" s="14" t="str"/>
      <c r="G20" s="14" t="str"/>
      <c r="H20" s="15" t="str"/>
    </row>
    <row r="21">
      <c r="A21" s="13" t="inlineStr">
        <is>
          <t>6</t>
        </is>
      </c>
      <c r="B21" s="14" t="inlineStr">
        <is>
          <t>Controles de coherencia con estado OK/REVISAR/FALLO.</t>
        </is>
      </c>
      <c r="C21" s="14" t="str"/>
      <c r="D21" s="14" t="str"/>
      <c r="E21" s="14" t="str"/>
      <c r="F21" s="14" t="str"/>
      <c r="G21" s="14" t="str"/>
      <c r="H21" s="15" t="str"/>
    </row>
    <row r="22">
      <c r="A22" s="13" t="inlineStr">
        <is>
          <t>7</t>
        </is>
      </c>
      <c r="B22" s="14" t="inlineStr">
        <is>
          <t>Hoja de paquetes de producto para conectar producto, drivers economicos y entregables.</t>
        </is>
      </c>
      <c r="C22" s="14" t="str"/>
      <c r="D22" s="14" t="str"/>
      <c r="E22" s="14" t="str"/>
      <c r="F22" s="14" t="str"/>
      <c r="G22" s="14" t="str"/>
      <c r="H22" s="15" t="str"/>
    </row>
    <row r="23">
      <c r="A23" s="13" t="inlineStr">
        <is>
          <t>8</t>
        </is>
      </c>
      <c r="B23" s="14" t="inlineStr">
        <is>
          <t>Pestañas separadas para inversion acumulada 4,2M y plan 26/27 de 300K.</t>
        </is>
      </c>
      <c r="C23" s="14" t="str"/>
      <c r="D23" s="14" t="str"/>
      <c r="E23" s="14" t="str"/>
      <c r="F23" s="14" t="str"/>
      <c r="G23" s="14" t="str"/>
      <c r="H23" s="15" t="str"/>
    </row>
    <row r="24">
      <c r="A24" s="13" t="str"/>
      <c r="B24" s="14" t="str"/>
      <c r="C24" s="14" t="str"/>
      <c r="D24" s="14" t="str"/>
      <c r="E24" s="14" t="str"/>
      <c r="F24" s="14" t="str"/>
      <c r="G24" s="14" t="str"/>
      <c r="H24" s="15" t="str"/>
    </row>
    <row r="25">
      <c r="A25" s="13" t="inlineStr">
        <is>
          <t>Principio</t>
        </is>
      </c>
      <c r="B25" s="14" t="inlineStr">
        <is>
          <t>Todo lo azul es input editable; todo lo verde es formula o enlace de modelo.</t>
        </is>
      </c>
      <c r="C25" s="14" t="str"/>
      <c r="D25" s="14" t="str"/>
      <c r="E25" s="14" t="str"/>
      <c r="F25" s="14" t="str"/>
      <c r="G25" s="14" t="str"/>
      <c r="H25" s="15" t="str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6" t="n"/>
      <c r="B52" s="17" t="n"/>
      <c r="C52" s="17" t="n"/>
      <c r="D52" s="17" t="n"/>
      <c r="E52" s="17" t="n"/>
      <c r="F52" s="17" t="n"/>
      <c r="G52" s="17" t="n"/>
      <c r="H52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  <col width="38" customWidth="1" min="7" max="7"/>
    <col width="38" customWidth="1" min="8" max="8"/>
  </cols>
  <sheetData>
    <row r="1">
      <c r="A1" s="107" t="inlineStr">
        <is>
          <t>01 Supuestos</t>
        </is>
      </c>
      <c r="B1" s="108" t="str"/>
      <c r="C1" s="108" t="str"/>
      <c r="D1" s="108" t="str"/>
      <c r="E1" s="108" t="str"/>
      <c r="F1" s="109" t="str"/>
      <c r="G1" s="119" t="n"/>
      <c r="H1" s="120" t="n"/>
    </row>
    <row r="2">
      <c r="A2" s="111" t="inlineStr">
        <is>
          <t>Inputs editables en azul. La curva base mantiene el crecimiento original; solo se redistribuye el sobrante del tramo 2026/27.</t>
        </is>
      </c>
      <c r="B2" s="112" t="str"/>
      <c r="C2" s="112" t="str"/>
      <c r="D2" s="112" t="str"/>
      <c r="E2" s="112" t="str"/>
      <c r="F2" s="112" t="str"/>
      <c r="G2" s="121" t="n"/>
      <c r="H2" s="122" t="n"/>
    </row>
    <row r="3">
      <c r="A3" s="13" t="str"/>
      <c r="B3" s="14" t="str"/>
      <c r="C3" s="14" t="str"/>
      <c r="D3" s="14" t="str"/>
      <c r="E3" s="14" t="str"/>
      <c r="F3" s="14" t="str"/>
      <c r="G3" s="121" t="n"/>
      <c r="H3" s="122" t="n"/>
    </row>
    <row r="4">
      <c r="A4" s="116" t="inlineStr">
        <is>
          <t>Control de m2 y escala</t>
        </is>
      </c>
      <c r="B4" s="117" t="str"/>
      <c r="C4" s="117" t="str"/>
      <c r="D4" s="117" t="str"/>
      <c r="E4" s="117" t="str"/>
      <c r="F4" s="117" t="str"/>
      <c r="G4" s="121" t="n"/>
      <c r="H4" s="122" t="n"/>
    </row>
    <row r="5">
      <c r="A5" s="13" t="inlineStr">
        <is>
          <t>Total m2 objetivo plan</t>
        </is>
      </c>
      <c r="B5" s="157">
        <f>SUM(B7:E7)</f>
        <v/>
      </c>
      <c r="C5" s="157" t="str"/>
      <c r="D5" s="157" t="str"/>
      <c r="E5" s="157" t="str"/>
      <c r="F5" s="14" t="inlineStr">
        <is>
          <t>Total derivado de la curva base original. Si se modifica B7:E7 recalcula el total.</t>
        </is>
      </c>
      <c r="G5" s="121" t="n"/>
      <c r="H5" s="122" t="n"/>
    </row>
    <row r="6">
      <c r="A6" s="13" t="inlineStr">
        <is>
          <t>m2 tramo 2026/27</t>
        </is>
      </c>
      <c r="B6" s="158" t="n">
        <v>300000</v>
      </c>
      <c r="C6" s="158" t="str"/>
      <c r="D6" s="158" t="str"/>
      <c r="E6" s="158" t="str"/>
      <c r="F6" s="14" t="inlineStr">
        <is>
          <t>Input solicitado: 300k m2 en el tramo unificado 2026/27.</t>
        </is>
      </c>
      <c r="G6" s="121" t="n"/>
      <c r="H6" s="122" t="n"/>
    </row>
    <row r="7">
      <c r="A7" s="13" t="inlineStr">
        <is>
          <t>m2 base original antes de ajuste</t>
        </is>
      </c>
      <c r="B7" s="158" t="n">
        <v>586000</v>
      </c>
      <c r="C7" s="158" t="n">
        <v>1065000</v>
      </c>
      <c r="D7" s="158" t="n">
        <v>1920000</v>
      </c>
      <c r="E7" s="158" t="n">
        <v>2940000</v>
      </c>
      <c r="F7" s="14" t="inlineStr">
        <is>
          <t>Curva original: 2026+2027, 2028, 2029 y 2030. Mantiene crecimiento no lineal.</t>
        </is>
      </c>
      <c r="G7" s="121" t="n"/>
      <c r="H7" s="122" t="n"/>
    </row>
    <row r="8">
      <c r="A8" s="13" t="inlineStr">
        <is>
          <t>m2 emitidos</t>
        </is>
      </c>
      <c r="B8" s="157">
        <f>$B$6</f>
        <v/>
      </c>
      <c r="C8" s="157">
        <f>C7+MAX(0,$B$7-$B$6)/3</f>
        <v/>
      </c>
      <c r="D8" s="157">
        <f>D7+MAX(0,$B$7-$B$6)/3</f>
        <v/>
      </c>
      <c r="E8" s="157">
        <f>E7+MAX(0,$B$7-$B$6)/3</f>
        <v/>
      </c>
      <c r="F8" s="14" t="inlineStr">
        <is>
          <t>B = 300k; C/D/E = curva original + sobrante 2026/27 redistribuido.</t>
        </is>
      </c>
      <c r="G8" s="121" t="n"/>
      <c r="H8" s="122" t="n"/>
    </row>
    <row r="9">
      <c r="A9" s="13" t="inlineStr">
        <is>
          <t>Stock vivo</t>
        </is>
      </c>
      <c r="B9" s="157">
        <f>B8</f>
        <v/>
      </c>
      <c r="C9" s="157">
        <f>B9+C8</f>
        <v/>
      </c>
      <c r="D9" s="157">
        <f>C9+D8</f>
        <v/>
      </c>
      <c r="E9" s="157">
        <f>D9+E8</f>
        <v/>
      </c>
      <c r="F9" s="14" t="inlineStr">
        <is>
          <t>Acumulado de m2 emitidos.</t>
        </is>
      </c>
      <c r="G9" s="121" t="n"/>
      <c r="H9" s="122" t="n"/>
    </row>
    <row r="10">
      <c r="A10" s="13" t="inlineStr">
        <is>
          <t>Partners activos</t>
        </is>
      </c>
      <c r="B10" s="158" t="n">
        <v>5</v>
      </c>
      <c r="C10" s="158" t="n">
        <v>11</v>
      </c>
      <c r="D10" s="158" t="n">
        <v>17</v>
      </c>
      <c r="E10" s="158" t="n">
        <v>23</v>
      </c>
      <c r="F10" s="14" t="inlineStr">
        <is>
          <t>Escala comercial por periodo.</t>
        </is>
      </c>
      <c r="G10" s="121" t="n"/>
      <c r="H10" s="122" t="n"/>
    </row>
    <row r="11">
      <c r="A11" s="13" t="inlineStr">
        <is>
          <t>Sobrante 2026/27 redistribuido</t>
        </is>
      </c>
      <c r="B11" s="157">
        <f>MAX(0,$B$7-$B$6)</f>
        <v/>
      </c>
      <c r="C11" s="157">
        <f>B11/3</f>
        <v/>
      </c>
      <c r="D11" s="157">
        <f>B11/3</f>
        <v/>
      </c>
      <c r="E11" s="157">
        <f>B11/3</f>
        <v/>
      </c>
      <c r="F11" s="14" t="inlineStr">
        <is>
          <t>B = sobrante total; C/D/E = reparto igualitario sobre 2028-2030.</t>
        </is>
      </c>
      <c r="G11" s="121" t="n"/>
      <c r="H11" s="122" t="n"/>
    </row>
    <row r="12">
      <c r="A12" s="116" t="inlineStr">
        <is>
          <t>Unit economics, adopcion y verticales</t>
        </is>
      </c>
      <c r="B12" s="117" t="str"/>
      <c r="C12" s="117" t="str"/>
      <c r="D12" s="117" t="str"/>
      <c r="E12" s="117" t="str"/>
      <c r="F12" s="117" t="str"/>
      <c r="G12" s="121" t="n"/>
      <c r="H12" s="122" t="n"/>
    </row>
    <row r="13">
      <c r="A13" s="114" t="inlineStr">
        <is>
          <t>Concepto</t>
        </is>
      </c>
      <c r="B13" s="159" t="inlineStr">
        <is>
          <t>2026/27</t>
        </is>
      </c>
      <c r="C13" s="159" t="inlineStr">
        <is>
          <t>2028</t>
        </is>
      </c>
      <c r="D13" s="159" t="inlineStr">
        <is>
          <t>2029</t>
        </is>
      </c>
      <c r="E13" s="159" t="inlineStr">
        <is>
          <t>2030</t>
        </is>
      </c>
      <c r="F13" s="115" t="inlineStr">
        <is>
          <t>Notas / driver</t>
        </is>
      </c>
      <c r="G13" s="121" t="n"/>
      <c r="H13" s="122" t="n"/>
    </row>
    <row r="14">
      <c r="A14" s="13" t="inlineStr">
        <is>
          <t>Fee de Red Fabricante EUR/m2</t>
        </is>
      </c>
      <c r="B14" s="158" t="n">
        <v>2.5</v>
      </c>
      <c r="C14" s="158" t="n">
        <v>2.5</v>
      </c>
      <c r="D14" s="158" t="n">
        <v>2.5</v>
      </c>
      <c r="E14" s="158" t="n">
        <v>2.5</v>
      </c>
      <c r="F14" s="14" t="inlineStr">
        <is>
          <t>Servicio de red fabricante por m2 fabricado verificado.</t>
        </is>
      </c>
      <c r="G14" s="121" t="n"/>
      <c r="H14" s="122" t="n"/>
    </row>
    <row r="15">
      <c r="A15" s="13" t="inlineStr">
        <is>
          <t>Fee de Red Montaje EUR/m2</t>
        </is>
      </c>
      <c r="B15" s="158" t="n">
        <v>2.5</v>
      </c>
      <c r="C15" s="158" t="n">
        <v>2.5</v>
      </c>
      <c r="D15" s="158" t="n">
        <v>2.5</v>
      </c>
      <c r="E15" s="158" t="n">
        <v>2.5</v>
      </c>
      <c r="F15" s="14" t="inlineStr">
        <is>
          <t>Servicio de red montaje por m2 instalado/verificado.</t>
        </is>
      </c>
      <c r="G15" s="121" t="n"/>
      <c r="H15" s="122" t="n"/>
    </row>
    <row r="16">
      <c r="A16" s="13" t="inlineStr">
        <is>
          <t>Cobertura fee montaje</t>
        </is>
      </c>
      <c r="B16" s="160" t="n">
        <v>0.85</v>
      </c>
      <c r="C16" s="160" t="n">
        <v>0.9</v>
      </c>
      <c r="D16" s="160" t="n">
        <v>0.93</v>
      </c>
      <c r="E16" s="160" t="n">
        <v>0.95</v>
      </c>
      <c r="F16" s="14" t="inlineStr">
        <is>
          <t>Cobertura progresiva del trigger de montaje.</t>
        </is>
      </c>
      <c r="G16" s="121" t="n"/>
      <c r="H16" s="122" t="n"/>
    </row>
    <row r="17">
      <c r="A17" s="13" t="inlineStr">
        <is>
          <t>Precio Designer EUR/m2</t>
        </is>
      </c>
      <c r="B17" s="158" t="n">
        <v>3</v>
      </c>
      <c r="C17" s="158" t="n">
        <v>3.2</v>
      </c>
      <c r="D17" s="158" t="n">
        <v>3.3</v>
      </c>
      <c r="E17" s="158" t="n">
        <v>3.5</v>
      </c>
      <c r="F17" s="14" t="inlineStr">
        <is>
          <t>Precio por m2 emitido.</t>
        </is>
      </c>
      <c r="G17" s="121" t="n"/>
      <c r="H17" s="122" t="n"/>
    </row>
    <row r="18">
      <c r="A18" s="13" t="inlineStr">
        <is>
          <t>Adopcion Designer</t>
        </is>
      </c>
      <c r="B18" s="160" t="n">
        <v>0.72</v>
      </c>
      <c r="C18" s="160" t="n">
        <v>0.78</v>
      </c>
      <c r="D18" s="160" t="n">
        <v>0.82</v>
      </c>
      <c r="E18" s="160" t="n">
        <v>0.86</v>
      </c>
      <c r="F18" s="14" t="inlineStr">
        <is>
          <t>Adopcion sobre m2 emitidos.</t>
        </is>
      </c>
      <c r="G18" s="121" t="n"/>
      <c r="H18" s="122" t="n"/>
    </row>
    <row r="19">
      <c r="A19" s="13" t="inlineStr">
        <is>
          <t>Precio Manager EUR/m2</t>
        </is>
      </c>
      <c r="B19" s="158" t="n">
        <v>2.6</v>
      </c>
      <c r="C19" s="158" t="n">
        <v>2.7</v>
      </c>
      <c r="D19" s="158" t="n">
        <v>2.8</v>
      </c>
      <c r="E19" s="158" t="n">
        <v>3</v>
      </c>
      <c r="F19" s="14" t="inlineStr">
        <is>
          <t>Precio por m2 emitido.</t>
        </is>
      </c>
      <c r="G19" s="121" t="n"/>
      <c r="H19" s="122" t="n"/>
    </row>
    <row r="20">
      <c r="A20" s="13" t="inlineStr">
        <is>
          <t>Adopcion Manager</t>
        </is>
      </c>
      <c r="B20" s="160" t="n">
        <v>0.82</v>
      </c>
      <c r="C20" s="160" t="n">
        <v>0.88</v>
      </c>
      <c r="D20" s="160" t="n">
        <v>0.92</v>
      </c>
      <c r="E20" s="160" t="n">
        <v>0.95</v>
      </c>
      <c r="F20" s="14" t="inlineStr">
        <is>
          <t>Adopcion sobre m2 emitidos.</t>
        </is>
      </c>
      <c r="G20" s="121" t="n"/>
      <c r="H20" s="122" t="n"/>
    </row>
    <row r="21">
      <c r="A21" s="13" t="inlineStr">
        <is>
          <t>Precio Asset Activation EUR/m2</t>
        </is>
      </c>
      <c r="B21" s="158" t="n">
        <v>5</v>
      </c>
      <c r="C21" s="158" t="n">
        <v>6.5</v>
      </c>
      <c r="D21" s="158" t="n">
        <v>7.25</v>
      </c>
      <c r="E21" s="158" t="n">
        <v>8</v>
      </c>
      <c r="F21" s="14" t="inlineStr">
        <is>
          <t>Activacion de activo por m2 emitido.</t>
        </is>
      </c>
      <c r="G21" s="121" t="n"/>
      <c r="H21" s="122" t="n"/>
    </row>
    <row r="22">
      <c r="A22" s="13" t="inlineStr">
        <is>
          <t>Completion Asset Activation</t>
        </is>
      </c>
      <c r="B22" s="160" t="n">
        <v>0.88</v>
      </c>
      <c r="C22" s="160" t="n">
        <v>0.95</v>
      </c>
      <c r="D22" s="160" t="n">
        <v>0.92</v>
      </c>
      <c r="E22" s="160" t="n">
        <v>1</v>
      </c>
      <c r="F22" s="14" t="inlineStr">
        <is>
          <t>Porcentaje de cierre/activacion.</t>
        </is>
      </c>
      <c r="G22" s="121" t="n"/>
      <c r="H22" s="122" t="n"/>
    </row>
    <row r="23">
      <c r="A23" s="13" t="inlineStr">
        <is>
          <t>Precio POI base EUR/m2</t>
        </is>
      </c>
      <c r="B23" s="158" t="n">
        <v>3.4</v>
      </c>
      <c r="C23" s="158" t="n">
        <v>4.1</v>
      </c>
      <c r="D23" s="158" t="n">
        <v>4.8</v>
      </c>
      <c r="E23" s="158" t="n">
        <v>5.5</v>
      </c>
      <c r="F23" s="14" t="inlineStr">
        <is>
          <t>POI base por m2.</t>
        </is>
      </c>
      <c r="G23" s="121" t="n"/>
      <c r="H23" s="122" t="n"/>
    </row>
    <row r="24">
      <c r="A24" s="13" t="inlineStr">
        <is>
          <t>Uplift POI</t>
        </is>
      </c>
      <c r="B24" s="160" t="n">
        <v>0.2</v>
      </c>
      <c r="C24" s="160" t="n">
        <v>0.25</v>
      </c>
      <c r="D24" s="160" t="n">
        <v>0.25</v>
      </c>
      <c r="E24" s="160" t="n">
        <v>0.25</v>
      </c>
      <c r="F24" s="14" t="inlineStr">
        <is>
          <t>Complejidad/servicios adicionales.</t>
        </is>
      </c>
      <c r="G24" s="121" t="n"/>
      <c r="H24" s="122" t="n"/>
    </row>
    <row r="25">
      <c r="A25" s="13" t="inlineStr">
        <is>
          <t>POI completion</t>
        </is>
      </c>
      <c r="B25" s="160" t="n">
        <v>0.78</v>
      </c>
      <c r="C25" s="160" t="n">
        <v>0.9</v>
      </c>
      <c r="D25" s="160" t="n">
        <v>0.92</v>
      </c>
      <c r="E25" s="160" t="n">
        <v>0.95</v>
      </c>
      <c r="F25" s="14" t="inlineStr">
        <is>
          <t>Porcentaje de eventos POI completados.</t>
        </is>
      </c>
      <c r="G25" s="121" t="n"/>
      <c r="H25" s="122" t="n"/>
    </row>
    <row r="26">
      <c r="A26" s="13" t="inlineStr">
        <is>
          <t>Precio DPP base EUR/m2</t>
        </is>
      </c>
      <c r="B26" s="158" t="n">
        <v>4.4</v>
      </c>
      <c r="C26" s="158" t="n">
        <v>5.4</v>
      </c>
      <c r="D26" s="158" t="n">
        <v>6.4</v>
      </c>
      <c r="E26" s="158" t="n">
        <v>7.5</v>
      </c>
      <c r="F26" s="14" t="inlineStr">
        <is>
          <t>DPP / Carpeta Madre por m2.</t>
        </is>
      </c>
      <c r="G26" s="121" t="n"/>
      <c r="H26" s="122" t="n"/>
    </row>
    <row r="27">
      <c r="A27" s="13" t="inlineStr">
        <is>
          <t>Uplift DPP</t>
        </is>
      </c>
      <c r="B27" s="160" t="n">
        <v>0.12</v>
      </c>
      <c r="C27" s="160" t="n">
        <v>0.15</v>
      </c>
      <c r="D27" s="160" t="n">
        <v>0.15</v>
      </c>
      <c r="E27" s="160" t="n">
        <v>0.15</v>
      </c>
      <c r="F27" s="14" t="inlineStr">
        <is>
          <t>Complejidad documental.</t>
        </is>
      </c>
      <c r="G27" s="121" t="n"/>
      <c r="H27" s="122" t="n"/>
    </row>
    <row r="28">
      <c r="A28" s="13" t="inlineStr">
        <is>
          <t>DPP completion</t>
        </is>
      </c>
      <c r="B28" s="160" t="n">
        <v>0.62</v>
      </c>
      <c r="C28" s="160" t="n">
        <v>0.74</v>
      </c>
      <c r="D28" s="160" t="n">
        <v>0.82</v>
      </c>
      <c r="E28" s="160" t="n">
        <v>0.88</v>
      </c>
      <c r="F28" s="14" t="inlineStr">
        <is>
          <t>Porcentaje de activos con DPP cerrado.</t>
        </is>
      </c>
      <c r="G28" s="121" t="n"/>
      <c r="H28" s="122" t="n"/>
    </row>
    <row r="29">
      <c r="A29" s="13" t="inlineStr">
        <is>
          <t>Precio recurrente digital EUR/m2 stock</t>
        </is>
      </c>
      <c r="B29" s="158" t="n">
        <v>0.95</v>
      </c>
      <c r="C29" s="158" t="n">
        <v>1.35</v>
      </c>
      <c r="D29" s="158" t="n">
        <v>1.8</v>
      </c>
      <c r="E29" s="158" t="n">
        <v>2.3</v>
      </c>
      <c r="F29" s="14" t="inlineStr">
        <is>
          <t>Sobre stock vivo.</t>
        </is>
      </c>
      <c r="G29" s="121" t="n"/>
      <c r="H29" s="122" t="n"/>
    </row>
    <row r="30">
      <c r="A30" s="13" t="inlineStr">
        <is>
          <t>Uplift Network Maintenance</t>
        </is>
      </c>
      <c r="B30" s="160" t="n">
        <v>0.3</v>
      </c>
      <c r="C30" s="160" t="n">
        <v>0.4</v>
      </c>
      <c r="D30" s="160" t="n">
        <v>0.45</v>
      </c>
      <c r="E30" s="160" t="n">
        <v>0.5</v>
      </c>
      <c r="F30" s="14" t="inlineStr">
        <is>
          <t>Servicios adicionales sobre mantenimiento.</t>
        </is>
      </c>
      <c r="G30" s="121" t="n"/>
      <c r="H30" s="122" t="n"/>
    </row>
    <row r="31">
      <c r="A31" s="13" t="inlineStr">
        <is>
          <t>Conversion recurrente</t>
        </is>
      </c>
      <c r="B31" s="160" t="n">
        <v>0.4</v>
      </c>
      <c r="C31" s="160" t="n">
        <v>0.52</v>
      </c>
      <c r="D31" s="160" t="n">
        <v>0.45</v>
      </c>
      <c r="E31" s="160" t="n">
        <v>0.5600000000000001</v>
      </c>
      <c r="F31" s="14" t="inlineStr">
        <is>
          <t>Conversion del stock vivo a servicios recurrentes.</t>
        </is>
      </c>
      <c r="G31" s="121" t="n"/>
      <c r="H31" s="122" t="n"/>
    </row>
    <row r="32">
      <c r="A32" s="13" t="inlineStr">
        <is>
          <t>Precio Data Layers EUR/m2 stock</t>
        </is>
      </c>
      <c r="B32" s="158" t="n">
        <v>1.5</v>
      </c>
      <c r="C32" s="158" t="n">
        <v>2.1</v>
      </c>
      <c r="D32" s="158" t="n">
        <v>2.8</v>
      </c>
      <c r="E32" s="158" t="n">
        <v>3.6</v>
      </c>
      <c r="F32" s="14" t="inlineStr">
        <is>
          <t>Capa de datos sobre stock vivo.</t>
        </is>
      </c>
      <c r="G32" s="121" t="n"/>
      <c r="H32" s="122" t="n"/>
    </row>
    <row r="33">
      <c r="A33" s="13" t="inlineStr">
        <is>
          <t>Uplift Data Layers</t>
        </is>
      </c>
      <c r="B33" s="160" t="n">
        <v>0.2</v>
      </c>
      <c r="C33" s="160" t="n">
        <v>0.25</v>
      </c>
      <c r="D33" s="160" t="n">
        <v>0.3</v>
      </c>
      <c r="E33" s="160" t="n">
        <v>0.3</v>
      </c>
      <c r="F33" s="14" t="inlineStr">
        <is>
          <t>Complejidad/valor de datos.</t>
        </is>
      </c>
      <c r="G33" s="121" t="n"/>
      <c r="H33" s="122" t="n"/>
    </row>
    <row r="34">
      <c r="A34" s="13" t="inlineStr">
        <is>
          <t>Adopcion Data Layers</t>
        </is>
      </c>
      <c r="B34" s="160" t="n">
        <v>0.16</v>
      </c>
      <c r="C34" s="160" t="n">
        <v>0.22</v>
      </c>
      <c r="D34" s="160" t="n">
        <v>0.3</v>
      </c>
      <c r="E34" s="160" t="n">
        <v>0.39</v>
      </c>
      <c r="F34" s="14" t="inlineStr">
        <is>
          <t>Adopcion de modulos data.</t>
        </is>
      </c>
      <c r="G34" s="121" t="n"/>
      <c r="H34" s="122" t="n"/>
    </row>
    <row r="35">
      <c r="A35" s="13" t="inlineStr">
        <is>
          <t>Penetracion Marketplace</t>
        </is>
      </c>
      <c r="B35" s="160" t="n">
        <v>0.18</v>
      </c>
      <c r="C35" s="160" t="n">
        <v>0.28</v>
      </c>
      <c r="D35" s="160" t="n">
        <v>0.4</v>
      </c>
      <c r="E35" s="160" t="n">
        <v>0.52</v>
      </c>
      <c r="F35" s="14" t="inlineStr">
        <is>
          <t>Penetracion sobre stock vivo.</t>
        </is>
      </c>
      <c r="G35" s="121" t="n"/>
      <c r="H35" s="122" t="n"/>
    </row>
    <row r="36">
      <c r="A36" s="13" t="inlineStr">
        <is>
          <t>Fee Marketplace EUR/m2 stock</t>
        </is>
      </c>
      <c r="B36" s="158" t="n">
        <v>1.5</v>
      </c>
      <c r="C36" s="158" t="n">
        <v>1.6</v>
      </c>
      <c r="D36" s="158" t="n">
        <v>1.8</v>
      </c>
      <c r="E36" s="158" t="n">
        <v>2</v>
      </c>
      <c r="F36" s="14" t="inlineStr">
        <is>
          <t>Fee por m2 de stock vivo.</t>
        </is>
      </c>
      <c r="G36" s="121" t="n"/>
      <c r="H36" s="122" t="n"/>
    </row>
    <row r="37">
      <c r="A37" s="13" t="inlineStr">
        <is>
          <t>Servicios premium Marketplace EUR M</t>
        </is>
      </c>
      <c r="B37" s="158" t="n">
        <v>0.25</v>
      </c>
      <c r="C37" s="158" t="n">
        <v>0.6</v>
      </c>
      <c r="D37" s="158" t="n">
        <v>1.2</v>
      </c>
      <c r="E37" s="158" t="n">
        <v>2</v>
      </c>
      <c r="F37" s="14" t="inlineStr">
        <is>
          <t>Servicios premium no directamente ligados a m2.</t>
        </is>
      </c>
      <c r="G37" s="121" t="n"/>
      <c r="H37" s="122" t="n"/>
    </row>
    <row r="38">
      <c r="A38" s="13" t="inlineStr">
        <is>
          <t>iPath revenue EUR M</t>
        </is>
      </c>
      <c r="B38" s="158" t="n">
        <v>2.39</v>
      </c>
      <c r="C38" s="158" t="n">
        <v>7.21</v>
      </c>
      <c r="D38" s="158" t="n">
        <v>16.01</v>
      </c>
      <c r="E38" s="158" t="n">
        <v>33.91</v>
      </c>
      <c r="F38" s="14" t="inlineStr">
        <is>
          <t>Vertical iPath.</t>
        </is>
      </c>
      <c r="G38" s="121" t="n"/>
      <c r="H38" s="122" t="n"/>
    </row>
    <row r="39">
      <c r="A39" s="13" t="inlineStr">
        <is>
          <t>Moolde revenue EUR M</t>
        </is>
      </c>
      <c r="B39" s="158" t="n">
        <v>0.2</v>
      </c>
      <c r="C39" s="158" t="n">
        <v>0.8</v>
      </c>
      <c r="D39" s="158" t="n">
        <v>1.8</v>
      </c>
      <c r="E39" s="158" t="n">
        <v>3</v>
      </c>
      <c r="F39" s="14" t="inlineStr">
        <is>
          <t>Vertical circularidad/materiales.</t>
        </is>
      </c>
      <c r="G39" s="121" t="n"/>
      <c r="H39" s="122" t="n"/>
    </row>
    <row r="40">
      <c r="A40" s="13" t="inlineStr">
        <is>
          <t>Internacional revenue EUR M</t>
        </is>
      </c>
      <c r="B40" s="158" t="n">
        <v>0</v>
      </c>
      <c r="C40" s="158" t="n">
        <v>1.5</v>
      </c>
      <c r="D40" s="158" t="n">
        <v>4</v>
      </c>
      <c r="E40" s="158" t="n">
        <v>12</v>
      </c>
      <c r="F40" s="14" t="inlineStr">
        <is>
          <t>Expansion internacional.</t>
        </is>
      </c>
      <c r="G40" s="121" t="n"/>
      <c r="H40" s="122" t="n"/>
    </row>
    <row r="41">
      <c r="A41" s="13" t="inlineStr">
        <is>
          <t>Financial Layer revenue EUR M</t>
        </is>
      </c>
      <c r="B41" s="158" t="n">
        <v>0.3</v>
      </c>
      <c r="C41" s="158" t="n">
        <v>1.2</v>
      </c>
      <c r="D41" s="158" t="n">
        <v>3</v>
      </c>
      <c r="E41" s="158" t="n">
        <v>9</v>
      </c>
      <c r="F41" s="14" t="inlineStr">
        <is>
          <t>Capa financiera / datos / servicios.</t>
        </is>
      </c>
      <c r="G41" s="121" t="n"/>
      <c r="H41" s="122" t="n"/>
    </row>
    <row r="42">
      <c r="A42" s="13" t="n"/>
      <c r="B42" s="14" t="n"/>
      <c r="C42" s="14" t="n"/>
      <c r="D42" s="14" t="n"/>
      <c r="E42" s="14" t="n"/>
      <c r="F42" s="14" t="n"/>
      <c r="G42" s="121" t="n"/>
      <c r="H42" s="122" t="n"/>
    </row>
    <row r="43">
      <c r="A43" s="13" t="n"/>
      <c r="B43" s="14" t="n"/>
      <c r="C43" s="14" t="n"/>
      <c r="D43" s="14" t="n"/>
      <c r="E43" s="14" t="n"/>
      <c r="F43" s="14" t="n"/>
      <c r="G43" s="121" t="n"/>
      <c r="H43" s="122" t="n"/>
    </row>
    <row r="44">
      <c r="A44" s="116" t="inlineStr">
        <is>
          <t>Margenes, cash, amortizacion y financiacion</t>
        </is>
      </c>
      <c r="B44" s="117" t="str"/>
      <c r="C44" s="117" t="str"/>
      <c r="D44" s="117" t="str"/>
      <c r="E44" s="117" t="str"/>
      <c r="F44" s="117" t="str"/>
      <c r="G44" s="121" t="n"/>
      <c r="H44" s="122" t="n"/>
    </row>
    <row r="45">
      <c r="A45" s="114" t="inlineStr">
        <is>
          <t>Concepto</t>
        </is>
      </c>
      <c r="B45" s="159" t="inlineStr">
        <is>
          <t>2026/27</t>
        </is>
      </c>
      <c r="C45" s="159" t="inlineStr">
        <is>
          <t>2028</t>
        </is>
      </c>
      <c r="D45" s="159" t="inlineStr">
        <is>
          <t>2029</t>
        </is>
      </c>
      <c r="E45" s="159" t="inlineStr">
        <is>
          <t>2030</t>
        </is>
      </c>
      <c r="F45" s="115" t="inlineStr">
        <is>
          <t>Notas / driver</t>
        </is>
      </c>
      <c r="G45" s="121" t="n"/>
      <c r="H45" s="122" t="n"/>
    </row>
    <row r="46">
      <c r="A46" s="13" t="inlineStr">
        <is>
          <t>Margen Asset OS</t>
        </is>
      </c>
      <c r="B46" s="160" t="n">
        <v>0.75</v>
      </c>
      <c r="C46" s="160" t="n">
        <v>0.77</v>
      </c>
      <c r="D46" s="160" t="n">
        <v>0.79</v>
      </c>
      <c r="E46" s="160" t="n">
        <v>0.82</v>
      </c>
      <c r="F46" s="14" t="inlineStr">
        <is>
          <t>Aplicado al resto de Asset OS excluyendo digitalizacion y fees especificos.</t>
        </is>
      </c>
      <c r="G46" s="121" t="n"/>
      <c r="H46" s="122" t="n"/>
    </row>
    <row r="47">
      <c r="A47" s="13" t="inlineStr">
        <is>
          <t>Margen iPath</t>
        </is>
      </c>
      <c r="B47" s="160" t="n">
        <v>0.4</v>
      </c>
      <c r="C47" s="160" t="n">
        <v>0.42</v>
      </c>
      <c r="D47" s="160" t="n">
        <v>0.44</v>
      </c>
      <c r="E47" s="160" t="n">
        <v>0.48</v>
      </c>
      <c r="F47" s="14" t="inlineStr">
        <is>
          <t>Margen de contribucion vertical iPath.</t>
        </is>
      </c>
      <c r="G47" s="121" t="n"/>
      <c r="H47" s="122" t="n"/>
    </row>
    <row r="48">
      <c r="A48" s="13" t="inlineStr">
        <is>
          <t>Margen Marketplace</t>
        </is>
      </c>
      <c r="B48" s="160" t="n">
        <v>0.8</v>
      </c>
      <c r="C48" s="160" t="n">
        <v>0.82</v>
      </c>
      <c r="D48" s="160" t="n">
        <v>0.84</v>
      </c>
      <c r="E48" s="160" t="n">
        <v>0.86</v>
      </c>
      <c r="F48" s="14" t="inlineStr">
        <is>
          <t>Margen de contribucion Marketplace.</t>
        </is>
      </c>
      <c r="G48" s="121" t="n"/>
      <c r="H48" s="122" t="n"/>
    </row>
    <row r="49">
      <c r="A49" s="13" t="inlineStr">
        <is>
          <t>Margen Internacional</t>
        </is>
      </c>
      <c r="B49" s="160" t="n">
        <v>0.65</v>
      </c>
      <c r="C49" s="160" t="n">
        <v>0.68</v>
      </c>
      <c r="D49" s="160" t="n">
        <v>0.7</v>
      </c>
      <c r="E49" s="160" t="n">
        <v>0.75</v>
      </c>
      <c r="F49" s="14" t="inlineStr">
        <is>
          <t>Margen contribucion internacional.</t>
        </is>
      </c>
      <c r="G49" s="121" t="n"/>
      <c r="H49" s="122" t="n"/>
    </row>
    <row r="50">
      <c r="A50" s="13" t="inlineStr">
        <is>
          <t>Margen Financial Layer</t>
        </is>
      </c>
      <c r="B50" s="160" t="n">
        <v>0.68</v>
      </c>
      <c r="C50" s="160" t="n">
        <v>0.72</v>
      </c>
      <c r="D50" s="160" t="n">
        <v>0.75</v>
      </c>
      <c r="E50" s="160" t="n">
        <v>0.85</v>
      </c>
      <c r="F50" s="14" t="inlineStr">
        <is>
          <t>Margen servicios financieros/datos.</t>
        </is>
      </c>
      <c r="G50" s="121" t="n"/>
      <c r="H50" s="122" t="n"/>
    </row>
    <row r="51">
      <c r="A51" s="13" t="inlineStr">
        <is>
          <t>GM digitalizacion fabricante</t>
        </is>
      </c>
      <c r="B51" s="160" t="n">
        <v>0.58</v>
      </c>
      <c r="C51" s="160" t="n">
        <v>0.6</v>
      </c>
      <c r="D51" s="160" t="n">
        <v>0.62</v>
      </c>
      <c r="E51" s="160" t="n">
        <v>0.65</v>
      </c>
      <c r="F51" s="14" t="inlineStr">
        <is>
          <t>Margen por paquete de digitalizacion fabricante.</t>
        </is>
      </c>
      <c r="G51" s="121" t="n"/>
      <c r="H51" s="122" t="n"/>
    </row>
    <row r="52">
      <c r="A52" s="13" t="inlineStr">
        <is>
          <t>GM digitalizacion montaje</t>
        </is>
      </c>
      <c r="B52" s="160" t="n">
        <v>0.62</v>
      </c>
      <c r="C52" s="160" t="n">
        <v>0.65</v>
      </c>
      <c r="D52" s="160" t="n">
        <v>0.67</v>
      </c>
      <c r="E52" s="160" t="n">
        <v>0.7</v>
      </c>
      <c r="F52" s="14" t="inlineStr">
        <is>
          <t>Margen por paquete de digitalizacion montaje.</t>
        </is>
      </c>
      <c r="G52" s="121" t="n"/>
      <c r="H52" s="122" t="n"/>
    </row>
    <row r="53">
      <c r="A53" s="13" t="inlineStr">
        <is>
          <t>GM fee fabricante</t>
        </is>
      </c>
      <c r="B53" s="160" t="n">
        <v>0.86</v>
      </c>
      <c r="C53" s="160" t="n">
        <v>0.87</v>
      </c>
      <c r="D53" s="160" t="n">
        <v>0.88</v>
      </c>
      <c r="E53" s="160" t="n">
        <v>0.9</v>
      </c>
      <c r="F53" s="14" t="inlineStr">
        <is>
          <t>Margen sobre fee fabricante.</t>
        </is>
      </c>
      <c r="G53" s="121" t="n"/>
      <c r="H53" s="122" t="n"/>
    </row>
    <row r="54">
      <c r="A54" s="13" t="inlineStr">
        <is>
          <t>GM fee montaje</t>
        </is>
      </c>
      <c r="B54" s="160" t="n">
        <v>0.84</v>
      </c>
      <c r="C54" s="160" t="n">
        <v>0.86</v>
      </c>
      <c r="D54" s="160" t="n">
        <v>0.87</v>
      </c>
      <c r="E54" s="160" t="n">
        <v>0.88</v>
      </c>
      <c r="F54" s="14" t="inlineStr">
        <is>
          <t>Margen sobre fee montaje.</t>
        </is>
      </c>
      <c r="G54" s="121" t="n"/>
      <c r="H54" s="122" t="n"/>
    </row>
    <row r="55">
      <c r="A55" s="13" t="inlineStr">
        <is>
          <t>Margen Moolde</t>
        </is>
      </c>
      <c r="B55" s="160" t="n">
        <v>1</v>
      </c>
      <c r="C55" s="160" t="n">
        <v>1</v>
      </c>
      <c r="D55" s="160" t="n">
        <v>1</v>
      </c>
      <c r="E55" s="160" t="n">
        <v>1</v>
      </c>
      <c r="F55" s="14" t="inlineStr">
        <is>
          <t>Moolde se modela como contribucion neta.</t>
        </is>
      </c>
      <c r="G55" s="121" t="n"/>
      <c r="H55" s="122" t="n"/>
    </row>
    <row r="56">
      <c r="A56" s="13" t="inlineStr">
        <is>
          <t>WC % crecimiento</t>
        </is>
      </c>
      <c r="B56" s="160" t="n">
        <v>0.15</v>
      </c>
      <c r="C56" s="160" t="n">
        <v>0.16</v>
      </c>
      <c r="D56" s="160" t="n">
        <v>0.17</v>
      </c>
      <c r="E56" s="160" t="n">
        <v>0.18</v>
      </c>
      <c r="F56" s="14" t="inlineStr">
        <is>
          <t>Capital circulante incremental sobre crecimiento de ingresos.</t>
        </is>
      </c>
      <c r="G56" s="121" t="n"/>
      <c r="H56" s="122" t="n"/>
    </row>
    <row r="57">
      <c r="A57" s="13" t="inlineStr">
        <is>
          <t>Capex EUR M</t>
        </is>
      </c>
      <c r="B57" s="158" t="n">
        <v>2</v>
      </c>
      <c r="C57" s="158" t="n">
        <v>2.5</v>
      </c>
      <c r="D57" s="158" t="n">
        <v>3</v>
      </c>
      <c r="E57" s="158" t="n">
        <v>4</v>
      </c>
      <c r="F57" s="14" t="inlineStr">
        <is>
          <t>Capex de plataforma, producto y despliegue.</t>
        </is>
      </c>
      <c r="G57" s="121" t="n"/>
      <c r="H57" s="122" t="n"/>
    </row>
    <row r="58">
      <c r="A58" s="13" t="inlineStr">
        <is>
          <t>Tasa fiscal</t>
        </is>
      </c>
      <c r="B58" s="160" t="n">
        <v>0.25</v>
      </c>
      <c r="C58" s="160" t="n">
        <v>0.25</v>
      </c>
      <c r="D58" s="160" t="n">
        <v>0.25</v>
      </c>
      <c r="E58" s="160" t="n">
        <v>0.25</v>
      </c>
      <c r="F58" s="14" t="inlineStr">
        <is>
          <t>Sobre resultado antes de impuestos positivo.</t>
        </is>
      </c>
      <c r="G58" s="121" t="n"/>
      <c r="H58" s="122" t="n"/>
    </row>
    <row r="59">
      <c r="A59" s="13" t="inlineStr">
        <is>
          <t>Financiacion EUR M</t>
        </is>
      </c>
      <c r="B59" s="158" t="n">
        <v>3</v>
      </c>
      <c r="C59" s="158" t="n">
        <v>1.5</v>
      </c>
      <c r="D59" s="158" t="n">
        <v>0</v>
      </c>
      <c r="E59" s="158" t="n">
        <v>0</v>
      </c>
      <c r="F59" s="14" t="inlineStr">
        <is>
          <t>Financiacion externa separada del EBITDA.</t>
        </is>
      </c>
      <c r="G59" s="121" t="n"/>
      <c r="H59" s="122" t="n"/>
    </row>
    <row r="60">
      <c r="A60" s="13" t="inlineStr">
        <is>
          <t>Amortizacion / D&amp;A EUR M</t>
        </is>
      </c>
      <c r="B60" s="158" t="n">
        <v>0.45</v>
      </c>
      <c r="C60" s="158" t="n">
        <v>0.75</v>
      </c>
      <c r="D60" s="158" t="n">
        <v>1.1</v>
      </c>
      <c r="E60" s="158" t="n">
        <v>1.55</v>
      </c>
      <c r="F60" s="14" t="inlineStr">
        <is>
          <t>Amortizacion contable de plataforma, IP, equipamiento y despliegue.</t>
        </is>
      </c>
      <c r="G60" s="121" t="n"/>
      <c r="H60" s="122" t="n"/>
    </row>
    <row r="61">
      <c r="A61" s="13" t="inlineStr">
        <is>
          <t>Gasto financiero EUR M</t>
        </is>
      </c>
      <c r="B61" s="158" t="n">
        <v>0.21</v>
      </c>
      <c r="C61" s="158" t="n">
        <v>0.105</v>
      </c>
      <c r="D61" s="158" t="n">
        <v>0</v>
      </c>
      <c r="E61" s="158" t="n">
        <v>0</v>
      </c>
      <c r="F61" s="14" t="inlineStr">
        <is>
          <t>Coste financiero estimado asociado a la financiacion externa.</t>
        </is>
      </c>
      <c r="G61" s="121" t="n"/>
      <c r="H61" s="122" t="n"/>
    </row>
    <row r="62">
      <c r="A62" s="13" t="n"/>
      <c r="B62" s="14" t="n"/>
      <c r="C62" s="14" t="n"/>
      <c r="D62" s="14" t="n"/>
      <c r="E62" s="14" t="n"/>
      <c r="F62" s="14" t="n"/>
      <c r="G62" s="121" t="n"/>
      <c r="H62" s="122" t="n"/>
    </row>
    <row r="63">
      <c r="A63" s="13" t="n"/>
      <c r="B63" s="14" t="n"/>
      <c r="C63" s="14" t="n"/>
      <c r="D63" s="14" t="n"/>
      <c r="E63" s="14" t="n"/>
      <c r="F63" s="14" t="n"/>
      <c r="G63" s="121" t="n"/>
      <c r="H63" s="122" t="n"/>
    </row>
    <row r="64">
      <c r="A64" s="13" t="n"/>
      <c r="B64" s="14" t="n"/>
      <c r="C64" s="14" t="n"/>
      <c r="D64" s="14" t="n"/>
      <c r="E64" s="14" t="n"/>
      <c r="F64" s="14" t="n"/>
      <c r="G64" s="121" t="n"/>
      <c r="H64" s="122" t="n"/>
    </row>
    <row r="65">
      <c r="A65" s="13" t="n"/>
      <c r="B65" s="14" t="n"/>
      <c r="C65" s="14" t="n"/>
      <c r="D65" s="14" t="n"/>
      <c r="E65" s="14" t="n"/>
      <c r="F65" s="14" t="n"/>
      <c r="G65" s="121" t="n"/>
      <c r="H65" s="122" t="n"/>
    </row>
    <row r="66">
      <c r="A66" s="13" t="n"/>
      <c r="B66" s="14" t="n"/>
      <c r="C66" s="14" t="n"/>
      <c r="D66" s="14" t="n"/>
      <c r="E66" s="14" t="n"/>
      <c r="F66" s="14" t="n"/>
      <c r="G66" s="121" t="n"/>
      <c r="H66" s="122" t="n"/>
    </row>
    <row r="67">
      <c r="A67" s="13" t="n"/>
      <c r="B67" s="14" t="n"/>
      <c r="C67" s="14" t="n"/>
      <c r="D67" s="14" t="n"/>
      <c r="E67" s="14" t="n"/>
      <c r="F67" s="14" t="n"/>
      <c r="G67" s="121" t="n"/>
      <c r="H67" s="122" t="n"/>
    </row>
    <row r="68">
      <c r="A68" s="13" t="n"/>
      <c r="B68" s="14" t="n"/>
      <c r="C68" s="14" t="n"/>
      <c r="D68" s="14" t="n"/>
      <c r="E68" s="14" t="n"/>
      <c r="F68" s="14" t="n"/>
      <c r="G68" s="121" t="n"/>
      <c r="H68" s="122" t="n"/>
    </row>
    <row r="69">
      <c r="A69" s="13" t="n"/>
      <c r="B69" s="14" t="n"/>
      <c r="C69" s="14" t="n"/>
      <c r="D69" s="14" t="n"/>
      <c r="E69" s="14" t="n"/>
      <c r="F69" s="14" t="n"/>
      <c r="G69" s="121" t="n"/>
      <c r="H69" s="122" t="n"/>
    </row>
    <row r="70">
      <c r="A70" s="13" t="n"/>
      <c r="B70" s="14" t="n"/>
      <c r="C70" s="14" t="n"/>
      <c r="D70" s="14" t="n"/>
      <c r="E70" s="14" t="n"/>
      <c r="F70" s="14" t="n"/>
      <c r="G70" s="121" t="n"/>
      <c r="H70" s="122" t="n"/>
    </row>
    <row r="71">
      <c r="A71" s="13" t="n"/>
      <c r="B71" s="14" t="n"/>
      <c r="C71" s="14" t="n"/>
      <c r="D71" s="14" t="n"/>
      <c r="E71" s="14" t="n"/>
      <c r="F71" s="14" t="n"/>
      <c r="G71" s="121" t="n"/>
      <c r="H71" s="122" t="n"/>
    </row>
    <row r="72">
      <c r="A72" s="13" t="n"/>
      <c r="B72" s="14" t="n"/>
      <c r="C72" s="14" t="n"/>
      <c r="D72" s="14" t="n"/>
      <c r="E72" s="14" t="n"/>
      <c r="F72" s="14" t="n"/>
      <c r="G72" s="121" t="n"/>
      <c r="H72" s="122" t="n"/>
    </row>
    <row r="73">
      <c r="A73" s="13" t="n"/>
      <c r="B73" s="14" t="n"/>
      <c r="C73" s="14" t="n"/>
      <c r="D73" s="14" t="n"/>
      <c r="E73" s="14" t="n"/>
      <c r="F73" s="14" t="n"/>
      <c r="G73" s="121" t="n"/>
      <c r="H73" s="122" t="n"/>
    </row>
    <row r="74">
      <c r="A74" s="13" t="n"/>
      <c r="B74" s="14" t="n"/>
      <c r="C74" s="14" t="n"/>
      <c r="D74" s="14" t="n"/>
      <c r="E74" s="14" t="n"/>
      <c r="F74" s="14" t="n"/>
      <c r="G74" s="121" t="n"/>
      <c r="H74" s="122" t="n"/>
    </row>
    <row r="75">
      <c r="A75" s="13" t="n"/>
      <c r="B75" s="14" t="n"/>
      <c r="C75" s="14" t="n"/>
      <c r="D75" s="14" t="n"/>
      <c r="E75" s="14" t="n"/>
      <c r="F75" s="14" t="n"/>
      <c r="G75" s="121" t="n"/>
      <c r="H75" s="122" t="n"/>
    </row>
    <row r="76">
      <c r="A76" s="13" t="n"/>
      <c r="B76" s="14" t="n"/>
      <c r="C76" s="14" t="n"/>
      <c r="D76" s="14" t="n"/>
      <c r="E76" s="14" t="n"/>
      <c r="F76" s="14" t="n"/>
      <c r="G76" s="121" t="n"/>
      <c r="H76" s="122" t="n"/>
    </row>
    <row r="77">
      <c r="A77" s="13" t="n"/>
      <c r="B77" s="14" t="n"/>
      <c r="C77" s="14" t="n"/>
      <c r="D77" s="14" t="n"/>
      <c r="E77" s="14" t="n"/>
      <c r="F77" s="14" t="n"/>
      <c r="G77" s="121" t="n"/>
      <c r="H77" s="122" t="n"/>
    </row>
    <row r="78">
      <c r="A78" s="13" t="n"/>
      <c r="B78" s="14" t="n"/>
      <c r="C78" s="14" t="n"/>
      <c r="D78" s="14" t="n"/>
      <c r="E78" s="14" t="n"/>
      <c r="F78" s="14" t="n"/>
      <c r="G78" s="121" t="n"/>
      <c r="H78" s="122" t="n"/>
    </row>
    <row r="79">
      <c r="A79" s="13" t="n"/>
      <c r="B79" s="14" t="n"/>
      <c r="C79" s="14" t="n"/>
      <c r="D79" s="14" t="n"/>
      <c r="E79" s="14" t="n"/>
      <c r="F79" s="14" t="n"/>
      <c r="G79" s="121" t="n"/>
      <c r="H79" s="122" t="n"/>
    </row>
    <row r="80">
      <c r="A80" s="13" t="n"/>
      <c r="B80" s="14" t="n"/>
      <c r="C80" s="14" t="n"/>
      <c r="D80" s="14" t="n"/>
      <c r="E80" s="14" t="n"/>
      <c r="F80" s="14" t="n"/>
      <c r="G80" s="121" t="n"/>
      <c r="H80" s="122" t="n"/>
    </row>
    <row r="81">
      <c r="A81" s="13" t="n"/>
      <c r="B81" s="14" t="n"/>
      <c r="C81" s="14" t="n"/>
      <c r="D81" s="14" t="n"/>
      <c r="E81" s="14" t="n"/>
      <c r="F81" s="14" t="n"/>
      <c r="G81" s="121" t="n"/>
      <c r="H81" s="122" t="n"/>
    </row>
    <row r="82">
      <c r="A82" s="13" t="n"/>
      <c r="B82" s="14" t="n"/>
      <c r="C82" s="14" t="n"/>
      <c r="D82" s="14" t="n"/>
      <c r="E82" s="14" t="n"/>
      <c r="F82" s="14" t="n"/>
      <c r="G82" s="121" t="n"/>
      <c r="H82" s="122" t="n"/>
    </row>
    <row r="83">
      <c r="A83" s="13" t="n"/>
      <c r="B83" s="14" t="n"/>
      <c r="C83" s="14" t="n"/>
      <c r="D83" s="14" t="n"/>
      <c r="E83" s="14" t="n"/>
      <c r="F83" s="14" t="n"/>
      <c r="G83" s="121" t="n"/>
      <c r="H83" s="122" t="n"/>
    </row>
    <row r="84">
      <c r="A84" s="13" t="n"/>
      <c r="B84" s="14" t="n"/>
      <c r="C84" s="14" t="n"/>
      <c r="D84" s="14" t="n"/>
      <c r="E84" s="14" t="n"/>
      <c r="F84" s="14" t="n"/>
      <c r="G84" s="121" t="n"/>
      <c r="H84" s="122" t="n"/>
    </row>
    <row r="85">
      <c r="A85" s="13" t="n"/>
      <c r="B85" s="14" t="n"/>
      <c r="C85" s="14" t="n"/>
      <c r="D85" s="14" t="n"/>
      <c r="E85" s="14" t="n"/>
      <c r="F85" s="14" t="n"/>
      <c r="G85" s="121" t="n"/>
      <c r="H85" s="122" t="n"/>
    </row>
    <row r="86">
      <c r="A86" s="13" t="n"/>
      <c r="B86" s="14" t="n"/>
      <c r="C86" s="14" t="n"/>
      <c r="D86" s="14" t="n"/>
      <c r="E86" s="14" t="n"/>
      <c r="F86" s="14" t="n"/>
      <c r="G86" s="121" t="n"/>
      <c r="H86" s="122" t="n"/>
    </row>
    <row r="87">
      <c r="A87" s="13" t="n"/>
      <c r="B87" s="14" t="n"/>
      <c r="C87" s="14" t="n"/>
      <c r="D87" s="14" t="n"/>
      <c r="E87" s="14" t="n"/>
      <c r="F87" s="14" t="n"/>
      <c r="G87" s="121" t="n"/>
      <c r="H87" s="122" t="n"/>
    </row>
    <row r="88">
      <c r="A88" s="13" t="n"/>
      <c r="B88" s="14" t="n"/>
      <c r="C88" s="14" t="n"/>
      <c r="D88" s="14" t="n"/>
      <c r="E88" s="14" t="n"/>
      <c r="F88" s="14" t="n"/>
      <c r="G88" s="121" t="n"/>
      <c r="H88" s="122" t="n"/>
    </row>
    <row r="89">
      <c r="A89" s="13" t="n"/>
      <c r="B89" s="14" t="n"/>
      <c r="C89" s="14" t="n"/>
      <c r="D89" s="14" t="n"/>
      <c r="E89" s="14" t="n"/>
      <c r="F89" s="14" t="n"/>
      <c r="G89" s="121" t="n"/>
      <c r="H89" s="122" t="n"/>
    </row>
    <row r="90">
      <c r="A90" s="13" t="n"/>
      <c r="B90" s="14" t="n"/>
      <c r="C90" s="14" t="n"/>
      <c r="D90" s="14" t="n"/>
      <c r="E90" s="14" t="n"/>
      <c r="F90" s="14" t="n"/>
      <c r="G90" s="121" t="n"/>
      <c r="H90" s="122" t="n"/>
    </row>
    <row r="91">
      <c r="A91" s="13" t="n"/>
      <c r="B91" s="14" t="n"/>
      <c r="C91" s="14" t="n"/>
      <c r="D91" s="14" t="n"/>
      <c r="E91" s="14" t="n"/>
      <c r="F91" s="14" t="n"/>
      <c r="G91" s="121" t="n"/>
      <c r="H91" s="122" t="n"/>
    </row>
    <row r="92">
      <c r="A92" s="13" t="n"/>
      <c r="B92" s="14" t="n"/>
      <c r="C92" s="14" t="n"/>
      <c r="D92" s="14" t="n"/>
      <c r="E92" s="14" t="n"/>
      <c r="F92" s="14" t="n"/>
      <c r="G92" s="121" t="n"/>
      <c r="H92" s="122" t="n"/>
    </row>
    <row r="93">
      <c r="A93" s="13" t="n"/>
      <c r="B93" s="14" t="n"/>
      <c r="C93" s="14" t="n"/>
      <c r="D93" s="14" t="n"/>
      <c r="E93" s="14" t="n"/>
      <c r="F93" s="14" t="n"/>
      <c r="G93" s="121" t="n"/>
      <c r="H93" s="122" t="n"/>
    </row>
    <row r="94">
      <c r="A94" s="13" t="n"/>
      <c r="B94" s="14" t="n"/>
      <c r="C94" s="14" t="n"/>
      <c r="D94" s="14" t="n"/>
      <c r="E94" s="14" t="n"/>
      <c r="F94" s="14" t="n"/>
      <c r="G94" s="121" t="n"/>
      <c r="H94" s="122" t="n"/>
    </row>
    <row r="95">
      <c r="A95" s="16" t="n"/>
      <c r="B95" s="17" t="n"/>
      <c r="C95" s="17" t="n"/>
      <c r="D95" s="17" t="n"/>
      <c r="E95" s="17" t="n"/>
      <c r="F95" s="17" t="n"/>
      <c r="G95" s="127" t="n"/>
      <c r="H95" s="1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34" customWidth="1" min="7" max="7"/>
    <col width="48" customWidth="1" min="8" max="8"/>
  </cols>
  <sheetData>
    <row r="1">
      <c r="A1" s="107" t="inlineStr">
        <is>
          <t>02 Detalle de ingresos</t>
        </is>
      </c>
      <c r="B1" s="108" t="str"/>
      <c r="C1" s="108" t="str"/>
      <c r="D1" s="108" t="str"/>
      <c r="E1" s="108" t="str"/>
      <c r="F1" s="109" t="str"/>
      <c r="G1" s="109" t="str"/>
      <c r="H1" s="110" t="str"/>
    </row>
    <row r="2">
      <c r="A2" s="111" t="inlineStr">
        <is>
          <t>Ingresos por concepto, driver y formula. EUR M salvo counts, m2 y tarifas.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16" t="inlineStr">
        <is>
          <t>Digitalizacion de partners</t>
        </is>
      </c>
      <c r="B4" s="117" t="str"/>
      <c r="C4" s="117" t="str"/>
      <c r="D4" s="117" t="str"/>
      <c r="E4" s="117" t="str"/>
      <c r="F4" s="117" t="str"/>
      <c r="G4" s="117" t="str"/>
      <c r="H4" s="118" t="str"/>
    </row>
    <row r="5">
      <c r="A5" s="114" t="inlineStr">
        <is>
          <t>Concepto</t>
        </is>
      </c>
      <c r="B5" s="115" t="inlineStr">
        <is>
          <t>2026/27</t>
        </is>
      </c>
      <c r="C5" s="115" t="inlineStr">
        <is>
          <t>2028</t>
        </is>
      </c>
      <c r="D5" s="115" t="inlineStr">
        <is>
          <t>2029</t>
        </is>
      </c>
      <c r="E5" s="115" t="inlineStr">
        <is>
          <t>2030</t>
        </is>
      </c>
      <c r="F5" s="115" t="inlineStr">
        <is>
          <t>Tarifa / driver</t>
        </is>
      </c>
      <c r="G5" s="115" t="inlineStr">
        <is>
          <t>Notas</t>
        </is>
      </c>
      <c r="H5" s="129" t="inlineStr">
        <is>
          <t>Fuente</t>
        </is>
      </c>
    </row>
    <row r="6">
      <c r="A6" s="13" t="inlineStr">
        <is>
          <t>Nuevos fabricantes - Small</t>
        </is>
      </c>
      <c r="B6" s="158" t="n">
        <v>1</v>
      </c>
      <c r="C6" s="158" t="n">
        <v>0</v>
      </c>
      <c r="D6" s="158" t="n">
        <v>1</v>
      </c>
      <c r="E6" s="158" t="n">
        <v>0</v>
      </c>
      <c r="F6" s="14" t="inlineStr">
        <is>
          <t>50.000 EUR</t>
        </is>
      </c>
      <c r="G6" s="14" t="inlineStr">
        <is>
          <t>Paquete cerrado hasta 5.000 m2</t>
        </is>
      </c>
      <c r="H6" s="15" t="inlineStr">
        <is>
          <t>Economics de partners</t>
        </is>
      </c>
    </row>
    <row r="7">
      <c r="A7" s="13" t="inlineStr">
        <is>
          <t>Nuevos fabricantes - Growth</t>
        </is>
      </c>
      <c r="B7" s="158" t="n">
        <v>1</v>
      </c>
      <c r="C7" s="158" t="n">
        <v>1</v>
      </c>
      <c r="D7" s="158" t="n">
        <v>0</v>
      </c>
      <c r="E7" s="158" t="n">
        <v>0</v>
      </c>
      <c r="F7" s="14" t="inlineStr">
        <is>
          <t>120.000 EUR</t>
        </is>
      </c>
      <c r="G7" s="14" t="inlineStr">
        <is>
          <t>Paquete cerrado growth</t>
        </is>
      </c>
      <c r="H7" s="15" t="inlineStr">
        <is>
          <t>Economics de partners</t>
        </is>
      </c>
    </row>
    <row r="8">
      <c r="A8" s="13" t="inlineStr">
        <is>
          <t>Nuevos fabricantes - Scale</t>
        </is>
      </c>
      <c r="B8" s="158" t="n">
        <v>0</v>
      </c>
      <c r="C8" s="158" t="n">
        <v>1</v>
      </c>
      <c r="D8" s="158" t="n">
        <v>1</v>
      </c>
      <c r="E8" s="158" t="n">
        <v>2</v>
      </c>
      <c r="F8" s="14" t="inlineStr">
        <is>
          <t>250.000 EUR</t>
        </is>
      </c>
      <c r="G8" s="14" t="inlineStr">
        <is>
          <t>Paquete cerrado scale</t>
        </is>
      </c>
      <c r="H8" s="15" t="inlineStr">
        <is>
          <t>Economics de partners</t>
        </is>
      </c>
    </row>
    <row r="9">
      <c r="A9" s="13" t="inlineStr">
        <is>
          <t>Nuevos fabricantes - Enterprise</t>
        </is>
      </c>
      <c r="B9" s="158" t="n">
        <v>0</v>
      </c>
      <c r="C9" s="158" t="n">
        <v>0</v>
      </c>
      <c r="D9" s="158" t="n">
        <v>1</v>
      </c>
      <c r="E9" s="158" t="n">
        <v>1</v>
      </c>
      <c r="F9" s="14" t="inlineStr">
        <is>
          <t>400.000 EUR</t>
        </is>
      </c>
      <c r="G9" s="14" t="inlineStr">
        <is>
          <t>Desde 400k</t>
        </is>
      </c>
      <c r="H9" s="15" t="inlineStr">
        <is>
          <t>Economics de partners</t>
        </is>
      </c>
    </row>
    <row r="10">
      <c r="A10" s="161" t="inlineStr">
        <is>
          <t>Revenue digitalizacion fabricante</t>
        </is>
      </c>
      <c r="B10" s="154">
        <f>B6*50000/1000000+B7*120000/1000000+B8*250000/1000000+B9*400000/1000000</f>
        <v/>
      </c>
      <c r="C10" s="154">
        <f>C6*50000/1000000+C7*120000/1000000+C8*250000/1000000+C9*400000/1000000</f>
        <v/>
      </c>
      <c r="D10" s="154">
        <f>D6*50000/1000000+D7*120000/1000000+D8*250000/1000000+D9*400000/1000000</f>
        <v/>
      </c>
      <c r="E10" s="154">
        <f>E6*50000/1000000+E7*120000/1000000+E8*250000/1000000+E9*400000/1000000</f>
        <v/>
      </c>
      <c r="F10" s="154" t="inlineStr">
        <is>
          <t>SUMPRODUCT tiers</t>
        </is>
      </c>
      <c r="G10" s="154" t="inlineStr">
        <is>
          <t>EUR M</t>
        </is>
      </c>
      <c r="H10" s="162" t="inlineStr">
        <is>
          <t>Formula</t>
        </is>
      </c>
    </row>
    <row r="11">
      <c r="A11" s="13" t="inlineStr">
        <is>
          <t>Nuevos montadores - Starter</t>
        </is>
      </c>
      <c r="B11" s="158" t="n">
        <v>0</v>
      </c>
      <c r="C11" s="158" t="n">
        <v>2</v>
      </c>
      <c r="D11" s="158" t="n">
        <v>1</v>
      </c>
      <c r="E11" s="158" t="n">
        <v>1</v>
      </c>
      <c r="F11" s="14" t="inlineStr">
        <is>
          <t>35.000 EUR</t>
        </is>
      </c>
      <c r="G11" s="14" t="inlineStr">
        <is>
          <t>Hasta 2 cuadrillas</t>
        </is>
      </c>
      <c r="H11" s="15" t="inlineStr">
        <is>
          <t>Economics de partners</t>
        </is>
      </c>
    </row>
    <row r="12">
      <c r="A12" s="13" t="inlineStr">
        <is>
          <t>Nuevos montadores - Scale</t>
        </is>
      </c>
      <c r="B12" s="158" t="n">
        <v>1</v>
      </c>
      <c r="C12" s="158" t="n">
        <v>1</v>
      </c>
      <c r="D12" s="158" t="n">
        <v>1</v>
      </c>
      <c r="E12" s="158" t="n">
        <v>1</v>
      </c>
      <c r="F12" s="14" t="inlineStr">
        <is>
          <t>75.000 EUR</t>
        </is>
      </c>
      <c r="G12" s="14" t="inlineStr">
        <is>
          <t>3 a 6 cuadrillas</t>
        </is>
      </c>
      <c r="H12" s="15" t="inlineStr">
        <is>
          <t>Economics de partners</t>
        </is>
      </c>
    </row>
    <row r="13">
      <c r="A13" s="13" t="inlineStr">
        <is>
          <t>Nuevos montadores - Enterprise</t>
        </is>
      </c>
      <c r="B13" s="158" t="n">
        <v>0</v>
      </c>
      <c r="C13" s="158" t="n">
        <v>1</v>
      </c>
      <c r="D13" s="158" t="n">
        <v>1</v>
      </c>
      <c r="E13" s="158" t="n">
        <v>1</v>
      </c>
      <c r="F13" s="14" t="inlineStr">
        <is>
          <t>12.000 EUR/cuadrilla, min. 75k</t>
        </is>
      </c>
      <c r="G13" s="14" t="inlineStr">
        <is>
          <t>Mas de 6 cuadrillas</t>
        </is>
      </c>
      <c r="H13" s="15" t="inlineStr">
        <is>
          <t>Economics de partners</t>
        </is>
      </c>
    </row>
    <row r="14">
      <c r="A14" s="13" t="inlineStr">
        <is>
          <t>Cuadrillas medias Enterprise</t>
        </is>
      </c>
      <c r="B14" s="158" t="n">
        <v>6</v>
      </c>
      <c r="C14" s="158" t="n">
        <v>8</v>
      </c>
      <c r="D14" s="158" t="n">
        <v>10</v>
      </c>
      <c r="E14" s="158" t="n">
        <v>12</v>
      </c>
      <c r="F14" s="14" t="inlineStr">
        <is>
          <t>Input</t>
        </is>
      </c>
      <c r="G14" s="14" t="inlineStr">
        <is>
          <t>Driver para enterprise</t>
        </is>
      </c>
      <c r="H14" s="15" t="inlineStr">
        <is>
          <t>Economics de partners</t>
        </is>
      </c>
    </row>
    <row r="15">
      <c r="A15" s="161" t="inlineStr">
        <is>
          <t>Revenue digitalizacion montaje</t>
        </is>
      </c>
      <c r="B15" s="154">
        <f>B11*35000/1000000+B12*75000/1000000+B13*MAX(75000,B14*12000)/1000000</f>
        <v/>
      </c>
      <c r="C15" s="154">
        <f>C11*35000/1000000+C12*75000/1000000+C13*MAX(75000,C14*12000)/1000000</f>
        <v/>
      </c>
      <c r="D15" s="154">
        <f>D11*35000/1000000+D12*75000/1000000+D13*MAX(75000,D14*12000)/1000000</f>
        <v/>
      </c>
      <c r="E15" s="154">
        <f>E11*35000/1000000+E12*75000/1000000+E13*MAX(75000,E14*12000)/1000000</f>
        <v/>
      </c>
      <c r="F15" s="154" t="inlineStr">
        <is>
          <t>SUM tiers</t>
        </is>
      </c>
      <c r="G15" s="154" t="inlineStr">
        <is>
          <t>EUR M</t>
        </is>
      </c>
      <c r="H15" s="162" t="inlineStr">
        <is>
          <t>Formula</t>
        </is>
      </c>
    </row>
    <row r="16">
      <c r="A16" s="13" t="n"/>
      <c r="B16" s="14" t="n"/>
      <c r="C16" s="14" t="n"/>
      <c r="D16" s="14" t="n"/>
      <c r="E16" s="14" t="n"/>
      <c r="F16" s="14" t="n"/>
      <c r="G16" s="14" t="n"/>
      <c r="H16" s="15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5" t="n"/>
    </row>
    <row r="18">
      <c r="A18" s="116" t="inlineStr">
        <is>
          <t>Usage-Based Construction Asset OS</t>
        </is>
      </c>
      <c r="B18" s="117" t="str"/>
      <c r="C18" s="117" t="str"/>
      <c r="D18" s="117" t="str"/>
      <c r="E18" s="117" t="str"/>
      <c r="F18" s="117" t="str"/>
      <c r="G18" s="117" t="str"/>
      <c r="H18" s="118" t="str"/>
    </row>
    <row r="19">
      <c r="A19" s="114" t="inlineStr">
        <is>
          <t>Concepto</t>
        </is>
      </c>
      <c r="B19" s="115" t="inlineStr">
        <is>
          <t>2026/27</t>
        </is>
      </c>
      <c r="C19" s="115" t="inlineStr">
        <is>
          <t>2028</t>
        </is>
      </c>
      <c r="D19" s="115" t="inlineStr">
        <is>
          <t>2029</t>
        </is>
      </c>
      <c r="E19" s="115" t="inlineStr">
        <is>
          <t>2030</t>
        </is>
      </c>
      <c r="F19" s="115" t="inlineStr">
        <is>
          <t>Driver</t>
        </is>
      </c>
      <c r="G19" s="115" t="inlineStr">
        <is>
          <t>Formula</t>
        </is>
      </c>
      <c r="H19" s="129" t="inlineStr">
        <is>
          <t>Notas</t>
        </is>
      </c>
    </row>
    <row r="20">
      <c r="A20" s="13" t="inlineStr">
        <is>
          <t>Digitalizacion fabricante</t>
        </is>
      </c>
      <c r="B20" s="163">
        <f>'02_Detalle_Ingresos'!B10</f>
        <v/>
      </c>
      <c r="C20" s="163">
        <f>'02_Detalle_Ingresos'!C10</f>
        <v/>
      </c>
      <c r="D20" s="163">
        <f>'02_Detalle_Ingresos'!D10</f>
        <v/>
      </c>
      <c r="E20" s="163">
        <f>'02_Detalle_Ingresos'!E10</f>
        <v/>
      </c>
      <c r="F20" s="14" t="inlineStr">
        <is>
          <t>Partner tiers</t>
        </is>
      </c>
      <c r="G20" s="14" t="inlineStr">
        <is>
          <t>Counts x tarifa / 1M</t>
        </is>
      </c>
      <c r="H20" s="15" t="inlineStr">
        <is>
          <t>Paquete de activacion de fabricante</t>
        </is>
      </c>
    </row>
    <row r="21">
      <c r="A21" s="13" t="inlineStr">
        <is>
          <t>Digitalizacion montaje</t>
        </is>
      </c>
      <c r="B21" s="163">
        <f>'02_Detalle_Ingresos'!B15</f>
        <v/>
      </c>
      <c r="C21" s="163">
        <f>'02_Detalle_Ingresos'!C15</f>
        <v/>
      </c>
      <c r="D21" s="163">
        <f>'02_Detalle_Ingresos'!D15</f>
        <v/>
      </c>
      <c r="E21" s="163">
        <f>'02_Detalle_Ingresos'!E15</f>
        <v/>
      </c>
      <c r="F21" s="14" t="inlineStr">
        <is>
          <t>Crew tiers</t>
        </is>
      </c>
      <c r="G21" s="14" t="inlineStr">
        <is>
          <t>Counts x tarifa / 1M</t>
        </is>
      </c>
      <c r="H21" s="15" t="inlineStr">
        <is>
          <t>Paquete de activacion de montadores</t>
        </is>
      </c>
    </row>
    <row r="22">
      <c r="A22" s="13" t="inlineStr">
        <is>
          <t>Fee de Red Fabricante</t>
        </is>
      </c>
      <c r="B22" s="163">
        <f>'01_Supuestos'!B8*'01_Supuestos'!B14/1000000</f>
        <v/>
      </c>
      <c r="C22" s="163">
        <f>'01_Supuestos'!C8*'01_Supuestos'!C14/1000000</f>
        <v/>
      </c>
      <c r="D22" s="163">
        <f>'01_Supuestos'!D8*'01_Supuestos'!D14/1000000</f>
        <v/>
      </c>
      <c r="E22" s="163">
        <f>'01_Supuestos'!E8*'01_Supuestos'!E14/1000000</f>
        <v/>
      </c>
      <c r="F22" s="14" t="inlineStr">
        <is>
          <t>m2 emitidos</t>
        </is>
      </c>
      <c r="G22" s="14" t="inlineStr">
        <is>
          <t>m2 x fee fabricante</t>
        </is>
      </c>
      <c r="H22" s="15" t="inlineStr">
        <is>
          <t>Trigger: m2 fabricados verificados</t>
        </is>
      </c>
    </row>
    <row r="23">
      <c r="A23" s="13" t="inlineStr">
        <is>
          <t>Fee de Red Montaje</t>
        </is>
      </c>
      <c r="B23" s="163">
        <f>'01_Supuestos'!B8*'01_Supuestos'!B15*'01_Supuestos'!B16/1000000</f>
        <v/>
      </c>
      <c r="C23" s="163">
        <f>'01_Supuestos'!C8*'01_Supuestos'!C15*'01_Supuestos'!C16/1000000</f>
        <v/>
      </c>
      <c r="D23" s="163">
        <f>'01_Supuestos'!D8*'01_Supuestos'!D15*'01_Supuestos'!D16/1000000</f>
        <v/>
      </c>
      <c r="E23" s="163">
        <f>'01_Supuestos'!E8*'01_Supuestos'!E15*'01_Supuestos'!E16/1000000</f>
        <v/>
      </c>
      <c r="F23" s="14" t="inlineStr">
        <is>
          <t>m2 emitidos x cobertura</t>
        </is>
      </c>
      <c r="G23" s="14" t="inlineStr">
        <is>
          <t>m2 x fee x cobertura</t>
        </is>
      </c>
      <c r="H23" s="15" t="inlineStr">
        <is>
          <t>Trigger: m2 instalados/verificados</t>
        </is>
      </c>
    </row>
    <row r="24">
      <c r="A24" s="13" t="inlineStr">
        <is>
          <t>Designer</t>
        </is>
      </c>
      <c r="B24" s="163">
        <f>'01_Supuestos'!B8*'01_Supuestos'!B17*'01_Supuestos'!B18/1000000</f>
        <v/>
      </c>
      <c r="C24" s="163">
        <f>'01_Supuestos'!C8*'01_Supuestos'!C17*'01_Supuestos'!C18/1000000</f>
        <v/>
      </c>
      <c r="D24" s="163">
        <f>'01_Supuestos'!D8*'01_Supuestos'!D17*'01_Supuestos'!D18/1000000</f>
        <v/>
      </c>
      <c r="E24" s="163">
        <f>'01_Supuestos'!E8*'01_Supuestos'!E17*'01_Supuestos'!E18/1000000</f>
        <v/>
      </c>
      <c r="F24" s="14" t="inlineStr">
        <is>
          <t>m2 emitidos</t>
        </is>
      </c>
      <c r="G24" s="14" t="inlineStr">
        <is>
          <t>m2 x precio x adopcion</t>
        </is>
      </c>
      <c r="H24" s="15" t="inlineStr">
        <is>
          <t>Diseno/generativo/API</t>
        </is>
      </c>
    </row>
    <row r="25">
      <c r="A25" s="13" t="inlineStr">
        <is>
          <t>Manager</t>
        </is>
      </c>
      <c r="B25" s="163">
        <f>'01_Supuestos'!B8*'01_Supuestos'!B19*'01_Supuestos'!B20/1000000</f>
        <v/>
      </c>
      <c r="C25" s="163">
        <f>'01_Supuestos'!C8*'01_Supuestos'!C19*'01_Supuestos'!C20/1000000</f>
        <v/>
      </c>
      <c r="D25" s="163">
        <f>'01_Supuestos'!D8*'01_Supuestos'!D19*'01_Supuestos'!D20/1000000</f>
        <v/>
      </c>
      <c r="E25" s="163">
        <f>'01_Supuestos'!E8*'01_Supuestos'!E19*'01_Supuestos'!E20/1000000</f>
        <v/>
      </c>
      <c r="F25" s="14" t="inlineStr">
        <is>
          <t>m2 emitidos</t>
        </is>
      </c>
      <c r="G25" s="14" t="inlineStr">
        <is>
          <t>m2 x precio x adopcion</t>
        </is>
      </c>
      <c r="H25" s="15" t="inlineStr">
        <is>
          <t>Manager y project room</t>
        </is>
      </c>
    </row>
    <row r="26">
      <c r="A26" s="13" t="inlineStr">
        <is>
          <t>Asset Activation</t>
        </is>
      </c>
      <c r="B26" s="163">
        <f>'01_Supuestos'!B8*'01_Supuestos'!B21*'01_Supuestos'!B22/1000000</f>
        <v/>
      </c>
      <c r="C26" s="163">
        <f>'01_Supuestos'!C8*'01_Supuestos'!C21*'01_Supuestos'!C22/1000000</f>
        <v/>
      </c>
      <c r="D26" s="163">
        <f>'01_Supuestos'!D8*'01_Supuestos'!D21*'01_Supuestos'!D22/1000000</f>
        <v/>
      </c>
      <c r="E26" s="163">
        <f>'01_Supuestos'!E8*'01_Supuestos'!E21*'01_Supuestos'!E22/1000000</f>
        <v/>
      </c>
      <c r="F26" s="14" t="inlineStr">
        <is>
          <t>m2 emitidos</t>
        </is>
      </c>
      <c r="G26" s="14" t="inlineStr">
        <is>
          <t>m2 x precio x completion</t>
        </is>
      </c>
      <c r="H26" s="15" t="inlineStr">
        <is>
          <t>Activacion inicial del activo</t>
        </is>
      </c>
    </row>
    <row r="27">
      <c r="A27" s="13" t="inlineStr">
        <is>
          <t>POI Evidence Pack</t>
        </is>
      </c>
      <c r="B27" s="163">
        <f>'01_Supuestos'!B8*'01_Supuestos'!B23*(1+'01_Supuestos'!B24)*'01_Supuestos'!B25/1000000</f>
        <v/>
      </c>
      <c r="C27" s="163">
        <f>'01_Supuestos'!C8*'01_Supuestos'!C23*(1+'01_Supuestos'!C24)*'01_Supuestos'!C25/1000000</f>
        <v/>
      </c>
      <c r="D27" s="163">
        <f>'01_Supuestos'!D8*'01_Supuestos'!D23*(1+'01_Supuestos'!D24)*'01_Supuestos'!D25/1000000</f>
        <v/>
      </c>
      <c r="E27" s="163">
        <f>'01_Supuestos'!E8*'01_Supuestos'!E23*(1+'01_Supuestos'!E24)*'01_Supuestos'!E25/1000000</f>
        <v/>
      </c>
      <c r="F27" s="14" t="inlineStr">
        <is>
          <t>m2 emitidos</t>
        </is>
      </c>
      <c r="G27" s="14" t="inlineStr">
        <is>
          <t>m2 x precio x uplift x completion</t>
        </is>
      </c>
      <c r="H27" s="15" t="inlineStr">
        <is>
          <t>Prueba de instalacion</t>
        </is>
      </c>
    </row>
    <row r="28">
      <c r="A28" s="13" t="inlineStr">
        <is>
          <t>DPP / Carpeta Madre</t>
        </is>
      </c>
      <c r="B28" s="163">
        <f>'01_Supuestos'!B8*'01_Supuestos'!B26*(1+'01_Supuestos'!B27)*'01_Supuestos'!B28/1000000</f>
        <v/>
      </c>
      <c r="C28" s="163">
        <f>'01_Supuestos'!C8*'01_Supuestos'!C26*(1+'01_Supuestos'!C27)*'01_Supuestos'!C28/1000000</f>
        <v/>
      </c>
      <c r="D28" s="163">
        <f>'01_Supuestos'!D8*'01_Supuestos'!D26*(1+'01_Supuestos'!D27)*'01_Supuestos'!D28/1000000</f>
        <v/>
      </c>
      <c r="E28" s="163">
        <f>'01_Supuestos'!E8*'01_Supuestos'!E26*(1+'01_Supuestos'!E27)*'01_Supuestos'!E28/1000000</f>
        <v/>
      </c>
      <c r="F28" s="14" t="inlineStr">
        <is>
          <t>m2 emitidos</t>
        </is>
      </c>
      <c r="G28" s="14" t="inlineStr">
        <is>
          <t>m2 x precio x uplift x completion</t>
        </is>
      </c>
      <c r="H28" s="15" t="inlineStr">
        <is>
          <t>Pasaporte/dossier vivo</t>
        </is>
      </c>
    </row>
    <row r="29">
      <c r="A29" s="13" t="inlineStr">
        <is>
          <t>Network Maintenance</t>
        </is>
      </c>
      <c r="B29" s="163">
        <f>'01_Supuestos'!B9*'01_Supuestos'!B29*(1+'01_Supuestos'!B30)*'01_Supuestos'!B31/1000000</f>
        <v/>
      </c>
      <c r="C29" s="163">
        <f>'01_Supuestos'!C9*'01_Supuestos'!C29*(1+'01_Supuestos'!C30)*'01_Supuestos'!C31/1000000</f>
        <v/>
      </c>
      <c r="D29" s="163">
        <f>'01_Supuestos'!D9*'01_Supuestos'!D29*(1+'01_Supuestos'!D30)*'01_Supuestos'!D31/1000000</f>
        <v/>
      </c>
      <c r="E29" s="163">
        <f>'01_Supuestos'!E9*'01_Supuestos'!E29*(1+'01_Supuestos'!E30)*'01_Supuestos'!E31/1000000</f>
        <v/>
      </c>
      <c r="F29" s="14" t="inlineStr">
        <is>
          <t>Stock vivo</t>
        </is>
      </c>
      <c r="G29" s="14" t="inlineStr">
        <is>
          <t>stock x precio x uplift x conversion</t>
        </is>
      </c>
      <c r="H29" s="15" t="inlineStr">
        <is>
          <t>Recurrencia sobre base instalada</t>
        </is>
      </c>
    </row>
    <row r="30">
      <c r="A30" s="13" t="inlineStr">
        <is>
          <t>Data Layers</t>
        </is>
      </c>
      <c r="B30" s="163">
        <f>'01_Supuestos'!B9*'01_Supuestos'!B32*(1+'01_Supuestos'!B33)*'01_Supuestos'!B34/1000000</f>
        <v/>
      </c>
      <c r="C30" s="163">
        <f>'01_Supuestos'!C9*'01_Supuestos'!C32*(1+'01_Supuestos'!C33)*'01_Supuestos'!C34/1000000</f>
        <v/>
      </c>
      <c r="D30" s="163">
        <f>'01_Supuestos'!D9*'01_Supuestos'!D32*(1+'01_Supuestos'!D33)*'01_Supuestos'!D34/1000000</f>
        <v/>
      </c>
      <c r="E30" s="163">
        <f>'01_Supuestos'!E9*'01_Supuestos'!E32*(1+'01_Supuestos'!E33)*'01_Supuestos'!E34/1000000</f>
        <v/>
      </c>
      <c r="F30" s="14" t="inlineStr">
        <is>
          <t>Stock vivo</t>
        </is>
      </c>
      <c r="G30" s="14" t="inlineStr">
        <is>
          <t>stock x precio x uplift x adopcion</t>
        </is>
      </c>
      <c r="H30" s="15" t="inlineStr">
        <is>
          <t>Datos, reporting, permisos</t>
        </is>
      </c>
    </row>
    <row r="31">
      <c r="A31" s="161" t="inlineStr">
        <is>
          <t>Total Usage-Based Construction Asset OS</t>
        </is>
      </c>
      <c r="B31" s="154">
        <f>SUM(B20:B30)</f>
        <v/>
      </c>
      <c r="C31" s="154">
        <f>SUM(C20:C30)</f>
        <v/>
      </c>
      <c r="D31" s="154">
        <f>SUM(D20:D30)</f>
        <v/>
      </c>
      <c r="E31" s="154">
        <f>SUM(E20:E30)</f>
        <v/>
      </c>
      <c r="F31" s="154" t="inlineStr">
        <is>
          <t>Subtotal</t>
        </is>
      </c>
      <c r="G31" s="154" t="inlineStr">
        <is>
          <t>SUM</t>
        </is>
      </c>
      <c r="H31" s="162" t="inlineStr">
        <is>
          <t>Subtotal Asset OS</t>
        </is>
      </c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16" t="inlineStr">
        <is>
          <t>Verticales, marketplace y total ingresos</t>
        </is>
      </c>
      <c r="B34" s="117" t="str"/>
      <c r="C34" s="117" t="str"/>
      <c r="D34" s="117" t="str"/>
      <c r="E34" s="117" t="str"/>
      <c r="F34" s="117" t="str"/>
      <c r="G34" s="117" t="str"/>
      <c r="H34" s="118" t="str"/>
    </row>
    <row r="35">
      <c r="A35" s="114" t="inlineStr">
        <is>
          <t>Concepto</t>
        </is>
      </c>
      <c r="B35" s="115" t="inlineStr">
        <is>
          <t>2026/27</t>
        </is>
      </c>
      <c r="C35" s="115" t="inlineStr">
        <is>
          <t>2028</t>
        </is>
      </c>
      <c r="D35" s="115" t="inlineStr">
        <is>
          <t>2029</t>
        </is>
      </c>
      <c r="E35" s="115" t="inlineStr">
        <is>
          <t>2030</t>
        </is>
      </c>
      <c r="F35" s="115" t="inlineStr">
        <is>
          <t>Driver</t>
        </is>
      </c>
      <c r="G35" s="115" t="inlineStr">
        <is>
          <t>Formula</t>
        </is>
      </c>
      <c r="H35" s="129" t="inlineStr">
        <is>
          <t>Notas</t>
        </is>
      </c>
    </row>
    <row r="36">
      <c r="A36" s="13" t="inlineStr">
        <is>
          <t>iPath</t>
        </is>
      </c>
      <c r="B36" s="163">
        <f>'01_Supuestos'!B38</f>
        <v/>
      </c>
      <c r="C36" s="163">
        <f>'01_Supuestos'!C38</f>
        <v/>
      </c>
      <c r="D36" s="163">
        <f>'01_Supuestos'!D38</f>
        <v/>
      </c>
      <c r="E36" s="163">
        <f>'01_Supuestos'!E38</f>
        <v/>
      </c>
      <c r="F36" s="14" t="inlineStr">
        <is>
          <t>Input vertical</t>
        </is>
      </c>
      <c r="G36" s="14" t="inlineStr">
        <is>
          <t>Supuestos</t>
        </is>
      </c>
      <c r="H36" s="15" t="inlineStr">
        <is>
          <t>Infraestructura urbana industrializada</t>
        </is>
      </c>
    </row>
    <row r="37">
      <c r="A37" s="13" t="inlineStr">
        <is>
          <t>Moolde</t>
        </is>
      </c>
      <c r="B37" s="163">
        <f>'01_Supuestos'!B39</f>
        <v/>
      </c>
      <c r="C37" s="163">
        <f>'01_Supuestos'!C39</f>
        <v/>
      </c>
      <c r="D37" s="163">
        <f>'01_Supuestos'!D39</f>
        <v/>
      </c>
      <c r="E37" s="163">
        <f>'01_Supuestos'!E39</f>
        <v/>
      </c>
      <c r="F37" s="14" t="inlineStr">
        <is>
          <t>Input vertical</t>
        </is>
      </c>
      <c r="G37" s="14" t="inlineStr">
        <is>
          <t>Supuestos</t>
        </is>
      </c>
      <c r="H37" s="15" t="inlineStr">
        <is>
          <t>Circularidad/materiales</t>
        </is>
      </c>
    </row>
    <row r="38">
      <c r="A38" s="13" t="inlineStr">
        <is>
          <t>Internacional</t>
        </is>
      </c>
      <c r="B38" s="163">
        <f>'01_Supuestos'!B40</f>
        <v/>
      </c>
      <c r="C38" s="163">
        <f>'01_Supuestos'!C40</f>
        <v/>
      </c>
      <c r="D38" s="163">
        <f>'01_Supuestos'!D40</f>
        <v/>
      </c>
      <c r="E38" s="163">
        <f>'01_Supuestos'!E40</f>
        <v/>
      </c>
      <c r="F38" s="14" t="inlineStr">
        <is>
          <t>Input vertical</t>
        </is>
      </c>
      <c r="G38" s="14" t="inlineStr">
        <is>
          <t>Supuestos</t>
        </is>
      </c>
      <c r="H38" s="15" t="inlineStr">
        <is>
          <t>Expansion fuera de mercado inicial</t>
        </is>
      </c>
    </row>
    <row r="39">
      <c r="A39" s="13" t="inlineStr">
        <is>
          <t>Financial Layer</t>
        </is>
      </c>
      <c r="B39" s="163">
        <f>'01_Supuestos'!B41</f>
        <v/>
      </c>
      <c r="C39" s="163">
        <f>'01_Supuestos'!C41</f>
        <v/>
      </c>
      <c r="D39" s="163">
        <f>'01_Supuestos'!D41</f>
        <v/>
      </c>
      <c r="E39" s="163">
        <f>'01_Supuestos'!E41</f>
        <v/>
      </c>
      <c r="F39" s="14" t="inlineStr">
        <is>
          <t>Input vertical</t>
        </is>
      </c>
      <c r="G39" s="14" t="inlineStr">
        <is>
          <t>Supuestos</t>
        </is>
      </c>
      <c r="H39" s="15" t="inlineStr">
        <is>
          <t>Datos/servicios financieros</t>
        </is>
      </c>
    </row>
    <row r="40">
      <c r="A40" s="13" t="inlineStr">
        <is>
          <t>Marketplace</t>
        </is>
      </c>
      <c r="B40" s="163">
        <f>'01_Supuestos'!B9*'01_Supuestos'!B36*'01_Supuestos'!B35/1000000+'01_Supuestos'!B37</f>
        <v/>
      </c>
      <c r="C40" s="163">
        <f>'01_Supuestos'!C9*'01_Supuestos'!C36*'01_Supuestos'!C35/1000000+'01_Supuestos'!C37</f>
        <v/>
      </c>
      <c r="D40" s="163">
        <f>'01_Supuestos'!D9*'01_Supuestos'!D36*'01_Supuestos'!D35/1000000+'01_Supuestos'!D37</f>
        <v/>
      </c>
      <c r="E40" s="163">
        <f>'01_Supuestos'!E9*'01_Supuestos'!E36*'01_Supuestos'!E35/1000000+'01_Supuestos'!E37</f>
        <v/>
      </c>
      <c r="F40" s="14" t="inlineStr">
        <is>
          <t>Stock vivo</t>
        </is>
      </c>
      <c r="G40" s="14" t="inlineStr">
        <is>
          <t>stock x fee x penetracion + premium</t>
        </is>
      </c>
      <c r="H40" s="15" t="inlineStr">
        <is>
          <t>Canal y servicios sobre red</t>
        </is>
      </c>
    </row>
    <row r="41">
      <c r="A41" s="13" t="str"/>
      <c r="B41" s="163" t="str"/>
      <c r="C41" s="163" t="str"/>
      <c r="D41" s="163" t="str"/>
      <c r="E41" s="163" t="str"/>
      <c r="F41" s="14" t="str"/>
      <c r="G41" s="14" t="str"/>
      <c r="H41" s="15" t="str"/>
    </row>
    <row r="42">
      <c r="A42" s="161" t="inlineStr">
        <is>
          <t>TOTAL INGRESOS</t>
        </is>
      </c>
      <c r="B42" s="154">
        <f>B31+SUM(B36:B40)</f>
        <v/>
      </c>
      <c r="C42" s="154">
        <f>C31+SUM(C36:C40)</f>
        <v/>
      </c>
      <c r="D42" s="154">
        <f>D31+SUM(D36:D40)</f>
        <v/>
      </c>
      <c r="E42" s="154">
        <f>E31+SUM(E36:E40)</f>
        <v/>
      </c>
      <c r="F42" s="154" t="inlineStr">
        <is>
          <t>Total</t>
        </is>
      </c>
      <c r="G42" s="154" t="inlineStr">
        <is>
          <t>Asset OS + verticales</t>
        </is>
      </c>
      <c r="H42" s="162" t="inlineStr">
        <is>
          <t>Ingresos totales del plan</t>
        </is>
      </c>
    </row>
    <row r="43">
      <c r="A43" s="13" t="inlineStr">
        <is>
          <t>m2 emitidos</t>
        </is>
      </c>
      <c r="B43" s="157">
        <f>'01_Supuestos'!B8</f>
        <v/>
      </c>
      <c r="C43" s="157">
        <f>'01_Supuestos'!C8</f>
        <v/>
      </c>
      <c r="D43" s="157">
        <f>'01_Supuestos'!D8</f>
        <v/>
      </c>
      <c r="E43" s="157">
        <f>'01_Supuestos'!E8</f>
        <v/>
      </c>
      <c r="F43" s="14" t="inlineStr">
        <is>
          <t>Driver</t>
        </is>
      </c>
      <c r="G43" s="14" t="inlineStr">
        <is>
          <t>Supuestos</t>
        </is>
      </c>
      <c r="H43" s="15" t="str"/>
    </row>
    <row r="44">
      <c r="A44" s="13" t="inlineStr">
        <is>
          <t>Stock vivo</t>
        </is>
      </c>
      <c r="B44" s="157">
        <f>'01_Supuestos'!B9</f>
        <v/>
      </c>
      <c r="C44" s="157">
        <f>'01_Supuestos'!C9</f>
        <v/>
      </c>
      <c r="D44" s="157">
        <f>'01_Supuestos'!D9</f>
        <v/>
      </c>
      <c r="E44" s="157">
        <f>'01_Supuestos'!E9</f>
        <v/>
      </c>
      <c r="F44" s="14" t="inlineStr">
        <is>
          <t>Driver</t>
        </is>
      </c>
      <c r="G44" s="14" t="inlineStr">
        <is>
          <t>Supuestos</t>
        </is>
      </c>
      <c r="H44" s="15" t="str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5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5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5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5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5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5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5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5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5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5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5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5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5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5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5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5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5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5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5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5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5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5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5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5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5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5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5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5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5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5" t="n"/>
    </row>
    <row r="100">
      <c r="A100" s="16" t="n"/>
      <c r="B100" s="17" t="n"/>
      <c r="C100" s="17" t="n"/>
      <c r="D100" s="17" t="n"/>
      <c r="E100" s="17" t="n"/>
      <c r="F100" s="17" t="n"/>
      <c r="G100" s="17" t="n"/>
      <c r="H100" s="1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7" t="inlineStr">
        <is>
          <t>03 Detalle de personal</t>
        </is>
      </c>
      <c r="B1" s="108" t="str"/>
      <c r="C1" s="108" t="str"/>
      <c r="D1" s="108" t="str"/>
      <c r="E1" s="108" t="str"/>
      <c r="F1" s="109" t="str"/>
      <c r="G1" s="109" t="str"/>
      <c r="H1" s="109" t="str"/>
      <c r="I1" s="108" t="str"/>
      <c r="J1" s="108" t="str"/>
      <c r="K1" s="132" t="str"/>
    </row>
    <row r="2">
      <c r="A2" s="111" t="inlineStr">
        <is>
          <t>Perfiles, departamentos, sueldo medio y FTE por tramo. Coste en EUR M.</t>
        </is>
      </c>
      <c r="B2" s="112" t="str"/>
      <c r="C2" s="112" t="str"/>
      <c r="D2" s="112" t="str"/>
      <c r="E2" s="112" t="str"/>
      <c r="F2" s="112" t="str"/>
      <c r="G2" s="112" t="str"/>
      <c r="H2" s="112" t="str"/>
      <c r="I2" s="112" t="str"/>
      <c r="J2" s="112" t="str"/>
      <c r="K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4" t="str"/>
      <c r="I3" s="14" t="str"/>
      <c r="J3" s="14" t="str"/>
      <c r="K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5" t="n"/>
    </row>
    <row r="5">
      <c r="A5" s="114" t="inlineStr">
        <is>
          <t>Departamento</t>
        </is>
      </c>
      <c r="B5" s="115" t="inlineStr">
        <is>
          <t>Perfil</t>
        </is>
      </c>
      <c r="C5" s="115" t="inlineStr">
        <is>
          <t>Sueldo medio EUR/FTE</t>
        </is>
      </c>
      <c r="D5" s="115" t="inlineStr">
        <is>
          <t>2026/27</t>
        </is>
      </c>
      <c r="E5" s="115" t="inlineStr">
        <is>
          <t>2028</t>
        </is>
      </c>
      <c r="F5" s="115" t="inlineStr">
        <is>
          <t>2029</t>
        </is>
      </c>
      <c r="G5" s="115" t="inlineStr">
        <is>
          <t>2030</t>
        </is>
      </c>
      <c r="H5" s="115" t="inlineStr">
        <is>
          <t>Coste 2026/27</t>
        </is>
      </c>
      <c r="I5" s="115" t="inlineStr">
        <is>
          <t>Coste 2028</t>
        </is>
      </c>
      <c r="J5" s="115" t="inlineStr">
        <is>
          <t>Coste 2029</t>
        </is>
      </c>
      <c r="K5" s="129" t="inlineStr">
        <is>
          <t>Coste 2030</t>
        </is>
      </c>
    </row>
    <row r="6">
      <c r="A6" s="13" t="inlineStr">
        <is>
          <t>Direccion</t>
        </is>
      </c>
      <c r="B6" s="14" t="inlineStr">
        <is>
          <t>CEO / Direccion general</t>
        </is>
      </c>
      <c r="C6" s="158" t="n">
        <v>110000</v>
      </c>
      <c r="D6" s="158" t="n">
        <v>1</v>
      </c>
      <c r="E6" s="158" t="n">
        <v>1</v>
      </c>
      <c r="F6" s="158" t="n">
        <v>1</v>
      </c>
      <c r="G6" s="158" t="n">
        <v>1</v>
      </c>
      <c r="H6" s="164">
        <f>$C6*D6/1000000</f>
        <v/>
      </c>
      <c r="I6" s="164">
        <f>$C6*E6/1000000</f>
        <v/>
      </c>
      <c r="J6" s="164">
        <f>$C6*F6/1000000</f>
        <v/>
      </c>
      <c r="K6" s="165">
        <f>$C6*G6/1000000</f>
        <v/>
      </c>
    </row>
    <row r="7">
      <c r="A7" s="13" t="inlineStr">
        <is>
          <t>Direccion</t>
        </is>
      </c>
      <c r="B7" s="14" t="inlineStr">
        <is>
          <t>COO / Direccion operaciones</t>
        </is>
      </c>
      <c r="C7" s="158" t="n">
        <v>105000</v>
      </c>
      <c r="D7" s="158" t="n">
        <v>1</v>
      </c>
      <c r="E7" s="158" t="n">
        <v>1</v>
      </c>
      <c r="F7" s="158" t="n">
        <v>1</v>
      </c>
      <c r="G7" s="158" t="n">
        <v>1</v>
      </c>
      <c r="H7" s="164">
        <f>$C7*D7/1000000</f>
        <v/>
      </c>
      <c r="I7" s="164">
        <f>$C7*E7/1000000</f>
        <v/>
      </c>
      <c r="J7" s="164">
        <f>$C7*F7/1000000</f>
        <v/>
      </c>
      <c r="K7" s="165">
        <f>$C7*G7/1000000</f>
        <v/>
      </c>
    </row>
    <row r="8">
      <c r="A8" s="13" t="inlineStr">
        <is>
          <t>Direccion</t>
        </is>
      </c>
      <c r="B8" s="14" t="inlineStr">
        <is>
          <t>CTO / Direccion producto</t>
        </is>
      </c>
      <c r="C8" s="158" t="n">
        <v>105000</v>
      </c>
      <c r="D8" s="158" t="n">
        <v>1</v>
      </c>
      <c r="E8" s="158" t="n">
        <v>1</v>
      </c>
      <c r="F8" s="158" t="n">
        <v>1</v>
      </c>
      <c r="G8" s="158" t="n">
        <v>1</v>
      </c>
      <c r="H8" s="164">
        <f>$C8*D8/1000000</f>
        <v/>
      </c>
      <c r="I8" s="164">
        <f>$C8*E8/1000000</f>
        <v/>
      </c>
      <c r="J8" s="164">
        <f>$C8*F8/1000000</f>
        <v/>
      </c>
      <c r="K8" s="165">
        <f>$C8*G8/1000000</f>
        <v/>
      </c>
    </row>
    <row r="9">
      <c r="A9" s="13" t="inlineStr">
        <is>
          <t>Direccion</t>
        </is>
      </c>
      <c r="B9" s="14" t="inlineStr">
        <is>
          <t>CFO / Finanzas e inversores</t>
        </is>
      </c>
      <c r="C9" s="158" t="n">
        <v>95000</v>
      </c>
      <c r="D9" s="158" t="n">
        <v>0.5</v>
      </c>
      <c r="E9" s="158" t="n">
        <v>1</v>
      </c>
      <c r="F9" s="158" t="n">
        <v>1</v>
      </c>
      <c r="G9" s="158" t="n">
        <v>1</v>
      </c>
      <c r="H9" s="164">
        <f>$C9*D9/1000000</f>
        <v/>
      </c>
      <c r="I9" s="164">
        <f>$C9*E9/1000000</f>
        <v/>
      </c>
      <c r="J9" s="164">
        <f>$C9*F9/1000000</f>
        <v/>
      </c>
      <c r="K9" s="165">
        <f>$C9*G9/1000000</f>
        <v/>
      </c>
    </row>
    <row r="10">
      <c r="A10" s="13" t="inlineStr">
        <is>
          <t>Direccion</t>
        </is>
      </c>
      <c r="B10" s="14" t="inlineStr">
        <is>
          <t>Direccion comercial / Growth</t>
        </is>
      </c>
      <c r="C10" s="158" t="n">
        <v>90000</v>
      </c>
      <c r="D10" s="158" t="n">
        <v>0.5</v>
      </c>
      <c r="E10" s="158" t="n">
        <v>1</v>
      </c>
      <c r="F10" s="158" t="n">
        <v>1</v>
      </c>
      <c r="G10" s="158" t="n">
        <v>1</v>
      </c>
      <c r="H10" s="164">
        <f>$C10*D10/1000000</f>
        <v/>
      </c>
      <c r="I10" s="164">
        <f>$C10*E10/1000000</f>
        <v/>
      </c>
      <c r="J10" s="164">
        <f>$C10*F10/1000000</f>
        <v/>
      </c>
      <c r="K10" s="165">
        <f>$C10*G10/1000000</f>
        <v/>
      </c>
    </row>
    <row r="11">
      <c r="A11" s="13" t="inlineStr">
        <is>
          <t>Producto</t>
        </is>
      </c>
      <c r="B11" s="14" t="inlineStr">
        <is>
          <t>Product Manager Asset OS</t>
        </is>
      </c>
      <c r="C11" s="158" t="n">
        <v>80000</v>
      </c>
      <c r="D11" s="158" t="n">
        <v>1</v>
      </c>
      <c r="E11" s="158" t="n">
        <v>2</v>
      </c>
      <c r="F11" s="158" t="n">
        <v>3</v>
      </c>
      <c r="G11" s="158" t="n">
        <v>4</v>
      </c>
      <c r="H11" s="164">
        <f>$C11*D11/1000000</f>
        <v/>
      </c>
      <c r="I11" s="164">
        <f>$C11*E11/1000000</f>
        <v/>
      </c>
      <c r="J11" s="164">
        <f>$C11*F11/1000000</f>
        <v/>
      </c>
      <c r="K11" s="165">
        <f>$C11*G11/1000000</f>
        <v/>
      </c>
    </row>
    <row r="12">
      <c r="A12" s="13" t="inlineStr">
        <is>
          <t>Producto</t>
        </is>
      </c>
      <c r="B12" s="14" t="inlineStr">
        <is>
          <t>Product Manager iPath / POI / DPP</t>
        </is>
      </c>
      <c r="C12" s="158" t="n">
        <v>78000</v>
      </c>
      <c r="D12" s="158" t="n">
        <v>1</v>
      </c>
      <c r="E12" s="158" t="n">
        <v>2</v>
      </c>
      <c r="F12" s="158" t="n">
        <v>3</v>
      </c>
      <c r="G12" s="158" t="n">
        <v>4</v>
      </c>
      <c r="H12" s="164">
        <f>$C12*D12/1000000</f>
        <v/>
      </c>
      <c r="I12" s="164">
        <f>$C12*E12/1000000</f>
        <v/>
      </c>
      <c r="J12" s="164">
        <f>$C12*F12/1000000</f>
        <v/>
      </c>
      <c r="K12" s="165">
        <f>$C12*G12/1000000</f>
        <v/>
      </c>
    </row>
    <row r="13">
      <c r="A13" s="13" t="inlineStr">
        <is>
          <t>Producto</t>
        </is>
      </c>
      <c r="B13" s="14" t="inlineStr">
        <is>
          <t>Backend / Platform Engineer</t>
        </is>
      </c>
      <c r="C13" s="158" t="n">
        <v>72000</v>
      </c>
      <c r="D13" s="158" t="n">
        <v>3</v>
      </c>
      <c r="E13" s="158" t="n">
        <v>8</v>
      </c>
      <c r="F13" s="158" t="n">
        <v>14</v>
      </c>
      <c r="G13" s="158" t="n">
        <v>22</v>
      </c>
      <c r="H13" s="164">
        <f>$C13*D13/1000000</f>
        <v/>
      </c>
      <c r="I13" s="164">
        <f>$C13*E13/1000000</f>
        <v/>
      </c>
      <c r="J13" s="164">
        <f>$C13*F13/1000000</f>
        <v/>
      </c>
      <c r="K13" s="165">
        <f>$C13*G13/1000000</f>
        <v/>
      </c>
    </row>
    <row r="14">
      <c r="A14" s="13" t="inlineStr">
        <is>
          <t>Producto</t>
        </is>
      </c>
      <c r="B14" s="14" t="inlineStr">
        <is>
          <t>Frontend / App Engineer</t>
        </is>
      </c>
      <c r="C14" s="158" t="n">
        <v>65000</v>
      </c>
      <c r="D14" s="158" t="n">
        <v>2</v>
      </c>
      <c r="E14" s="158" t="n">
        <v>5</v>
      </c>
      <c r="F14" s="158" t="n">
        <v>8</v>
      </c>
      <c r="G14" s="158" t="n">
        <v>12</v>
      </c>
      <c r="H14" s="164">
        <f>$C14*D14/1000000</f>
        <v/>
      </c>
      <c r="I14" s="164">
        <f>$C14*E14/1000000</f>
        <v/>
      </c>
      <c r="J14" s="164">
        <f>$C14*F14/1000000</f>
        <v/>
      </c>
      <c r="K14" s="165">
        <f>$C14*G14/1000000</f>
        <v/>
      </c>
    </row>
    <row r="15">
      <c r="A15" s="13" t="inlineStr">
        <is>
          <t>Producto</t>
        </is>
      </c>
      <c r="B15" s="14" t="inlineStr">
        <is>
          <t>Mobile / Reading Apps Engineer</t>
        </is>
      </c>
      <c r="C15" s="158" t="n">
        <v>62000</v>
      </c>
      <c r="D15" s="158" t="n">
        <v>1</v>
      </c>
      <c r="E15" s="158" t="n">
        <v>3</v>
      </c>
      <c r="F15" s="158" t="n">
        <v>5</v>
      </c>
      <c r="G15" s="158" t="n">
        <v>8</v>
      </c>
      <c r="H15" s="164">
        <f>$C15*D15/1000000</f>
        <v/>
      </c>
      <c r="I15" s="164">
        <f>$C15*E15/1000000</f>
        <v/>
      </c>
      <c r="J15" s="164">
        <f>$C15*F15/1000000</f>
        <v/>
      </c>
      <c r="K15" s="165">
        <f>$C15*G15/1000000</f>
        <v/>
      </c>
    </row>
    <row r="16">
      <c r="A16" s="13" t="inlineStr">
        <is>
          <t>Producto</t>
        </is>
      </c>
      <c r="B16" s="14" t="inlineStr">
        <is>
          <t>Data / AI Engineer</t>
        </is>
      </c>
      <c r="C16" s="158" t="n">
        <v>80000</v>
      </c>
      <c r="D16" s="158" t="n">
        <v>1</v>
      </c>
      <c r="E16" s="158" t="n">
        <v>4</v>
      </c>
      <c r="F16" s="158" t="n">
        <v>8</v>
      </c>
      <c r="G16" s="158" t="n">
        <v>14</v>
      </c>
      <c r="H16" s="164">
        <f>$C16*D16/1000000</f>
        <v/>
      </c>
      <c r="I16" s="164">
        <f>$C16*E16/1000000</f>
        <v/>
      </c>
      <c r="J16" s="164">
        <f>$C16*F16/1000000</f>
        <v/>
      </c>
      <c r="K16" s="165">
        <f>$C16*G16/1000000</f>
        <v/>
      </c>
    </row>
    <row r="17">
      <c r="A17" s="13" t="inlineStr">
        <is>
          <t>Producto</t>
        </is>
      </c>
      <c r="B17" s="14" t="inlineStr">
        <is>
          <t>GIS Engineer</t>
        </is>
      </c>
      <c r="C17" s="158" t="n">
        <v>65000</v>
      </c>
      <c r="D17" s="158" t="n">
        <v>1</v>
      </c>
      <c r="E17" s="158" t="n">
        <v>2</v>
      </c>
      <c r="F17" s="158" t="n">
        <v>4</v>
      </c>
      <c r="G17" s="158" t="n">
        <v>6</v>
      </c>
      <c r="H17" s="164">
        <f>$C17*D17/1000000</f>
        <v/>
      </c>
      <c r="I17" s="164">
        <f>$C17*E17/1000000</f>
        <v/>
      </c>
      <c r="J17" s="164">
        <f>$C17*F17/1000000</f>
        <v/>
      </c>
      <c r="K17" s="165">
        <f>$C17*G17/1000000</f>
        <v/>
      </c>
    </row>
    <row r="18">
      <c r="A18" s="13" t="inlineStr">
        <is>
          <t>Producto</t>
        </is>
      </c>
      <c r="B18" s="14" t="inlineStr">
        <is>
          <t>DevOps / Security</t>
        </is>
      </c>
      <c r="C18" s="158" t="n">
        <v>80000</v>
      </c>
      <c r="D18" s="158" t="n">
        <v>1</v>
      </c>
      <c r="E18" s="158" t="n">
        <v>3</v>
      </c>
      <c r="F18" s="158" t="n">
        <v>5</v>
      </c>
      <c r="G18" s="158" t="n">
        <v>8</v>
      </c>
      <c r="H18" s="164">
        <f>$C18*D18/1000000</f>
        <v/>
      </c>
      <c r="I18" s="164">
        <f>$C18*E18/1000000</f>
        <v/>
      </c>
      <c r="J18" s="164">
        <f>$C18*F18/1000000</f>
        <v/>
      </c>
      <c r="K18" s="165">
        <f>$C18*G18/1000000</f>
        <v/>
      </c>
    </row>
    <row r="19">
      <c r="A19" s="13" t="inlineStr">
        <is>
          <t>Producto</t>
        </is>
      </c>
      <c r="B19" s="14" t="inlineStr">
        <is>
          <t>QA / Automation</t>
        </is>
      </c>
      <c r="C19" s="158" t="n">
        <v>58000</v>
      </c>
      <c r="D19" s="158" t="n">
        <v>1</v>
      </c>
      <c r="E19" s="158" t="n">
        <v>3</v>
      </c>
      <c r="F19" s="158" t="n">
        <v>6</v>
      </c>
      <c r="G19" s="158" t="n">
        <v>10</v>
      </c>
      <c r="H19" s="164">
        <f>$C19*D19/1000000</f>
        <v/>
      </c>
      <c r="I19" s="164">
        <f>$C19*E19/1000000</f>
        <v/>
      </c>
      <c r="J19" s="164">
        <f>$C19*F19/1000000</f>
        <v/>
      </c>
      <c r="K19" s="165">
        <f>$C19*G19/1000000</f>
        <v/>
      </c>
    </row>
    <row r="20">
      <c r="A20" s="13" t="inlineStr">
        <is>
          <t>Producto</t>
        </is>
      </c>
      <c r="B20" s="14" t="inlineStr">
        <is>
          <t>UX/UI / Research</t>
        </is>
      </c>
      <c r="C20" s="158" t="n">
        <v>55000</v>
      </c>
      <c r="D20" s="158" t="n">
        <v>1</v>
      </c>
      <c r="E20" s="158" t="n">
        <v>2</v>
      </c>
      <c r="F20" s="158" t="n">
        <v>3</v>
      </c>
      <c r="G20" s="158" t="n">
        <v>5</v>
      </c>
      <c r="H20" s="164">
        <f>$C20*D20/1000000</f>
        <v/>
      </c>
      <c r="I20" s="164">
        <f>$C20*E20/1000000</f>
        <v/>
      </c>
      <c r="J20" s="164">
        <f>$C20*F20/1000000</f>
        <v/>
      </c>
      <c r="K20" s="165">
        <f>$C20*G20/1000000</f>
        <v/>
      </c>
    </row>
    <row r="21">
      <c r="A21" s="13" t="inlineStr">
        <is>
          <t>Operaciones</t>
        </is>
      </c>
      <c r="B21" s="14" t="inlineStr">
        <is>
          <t>Industrialization Lead</t>
        </is>
      </c>
      <c r="C21" s="158" t="n">
        <v>78000</v>
      </c>
      <c r="D21" s="158" t="n">
        <v>1</v>
      </c>
      <c r="E21" s="158" t="n">
        <v>2</v>
      </c>
      <c r="F21" s="158" t="n">
        <v>3</v>
      </c>
      <c r="G21" s="158" t="n">
        <v>5</v>
      </c>
      <c r="H21" s="164">
        <f>$C21*D21/1000000</f>
        <v/>
      </c>
      <c r="I21" s="164">
        <f>$C21*E21/1000000</f>
        <v/>
      </c>
      <c r="J21" s="164">
        <f>$C21*F21/1000000</f>
        <v/>
      </c>
      <c r="K21" s="165">
        <f>$C21*G21/1000000</f>
        <v/>
      </c>
    </row>
    <row r="22">
      <c r="A22" s="13" t="inlineStr">
        <is>
          <t>Operaciones</t>
        </is>
      </c>
      <c r="B22" s="14" t="inlineStr">
        <is>
          <t>Factory Integration Specialist</t>
        </is>
      </c>
      <c r="C22" s="158" t="n">
        <v>62000</v>
      </c>
      <c r="D22" s="158" t="n">
        <v>2</v>
      </c>
      <c r="E22" s="158" t="n">
        <v>5</v>
      </c>
      <c r="F22" s="158" t="n">
        <v>9</v>
      </c>
      <c r="G22" s="158" t="n">
        <v>14</v>
      </c>
      <c r="H22" s="164">
        <f>$C22*D22/1000000</f>
        <v/>
      </c>
      <c r="I22" s="164">
        <f>$C22*E22/1000000</f>
        <v/>
      </c>
      <c r="J22" s="164">
        <f>$C22*F22/1000000</f>
        <v/>
      </c>
      <c r="K22" s="165">
        <f>$C22*G22/1000000</f>
        <v/>
      </c>
    </row>
    <row r="23">
      <c r="A23" s="13" t="inlineStr">
        <is>
          <t>Operaciones</t>
        </is>
      </c>
      <c r="B23" s="14" t="inlineStr">
        <is>
          <t>Site / POI Lead</t>
        </is>
      </c>
      <c r="C23" s="158" t="n">
        <v>62000</v>
      </c>
      <c r="D23" s="158" t="n">
        <v>2</v>
      </c>
      <c r="E23" s="158" t="n">
        <v>5</v>
      </c>
      <c r="F23" s="158" t="n">
        <v>9</v>
      </c>
      <c r="G23" s="158" t="n">
        <v>14</v>
      </c>
      <c r="H23" s="164">
        <f>$C23*D23/1000000</f>
        <v/>
      </c>
      <c r="I23" s="164">
        <f>$C23*E23/1000000</f>
        <v/>
      </c>
      <c r="J23" s="164">
        <f>$C23*F23/1000000</f>
        <v/>
      </c>
      <c r="K23" s="165">
        <f>$C23*G23/1000000</f>
        <v/>
      </c>
    </row>
    <row r="24">
      <c r="A24" s="13" t="inlineStr">
        <is>
          <t>Operaciones</t>
        </is>
      </c>
      <c r="B24" s="14" t="inlineStr">
        <is>
          <t>DPP / Documental Lead</t>
        </is>
      </c>
      <c r="C24" s="158" t="n">
        <v>60000</v>
      </c>
      <c r="D24" s="158" t="n">
        <v>1</v>
      </c>
      <c r="E24" s="158" t="n">
        <v>3</v>
      </c>
      <c r="F24" s="158" t="n">
        <v>6</v>
      </c>
      <c r="G24" s="158" t="n">
        <v>10</v>
      </c>
      <c r="H24" s="164">
        <f>$C24*D24/1000000</f>
        <v/>
      </c>
      <c r="I24" s="164">
        <f>$C24*E24/1000000</f>
        <v/>
      </c>
      <c r="J24" s="164">
        <f>$C24*F24/1000000</f>
        <v/>
      </c>
      <c r="K24" s="165">
        <f>$C24*G24/1000000</f>
        <v/>
      </c>
    </row>
    <row r="25">
      <c r="A25" s="13" t="inlineStr">
        <is>
          <t>Operaciones</t>
        </is>
      </c>
      <c r="B25" s="14" t="inlineStr">
        <is>
          <t>Customer Success Manager</t>
        </is>
      </c>
      <c r="C25" s="158" t="n">
        <v>58000</v>
      </c>
      <c r="D25" s="158" t="n">
        <v>2</v>
      </c>
      <c r="E25" s="158" t="n">
        <v>6</v>
      </c>
      <c r="F25" s="158" t="n">
        <v>12</v>
      </c>
      <c r="G25" s="158" t="n">
        <v>20</v>
      </c>
      <c r="H25" s="164">
        <f>$C25*D25/1000000</f>
        <v/>
      </c>
      <c r="I25" s="164">
        <f>$C25*E25/1000000</f>
        <v/>
      </c>
      <c r="J25" s="164">
        <f>$C25*F25/1000000</f>
        <v/>
      </c>
      <c r="K25" s="165">
        <f>$C25*G25/1000000</f>
        <v/>
      </c>
    </row>
    <row r="26">
      <c r="A26" s="13" t="inlineStr">
        <is>
          <t>Operaciones</t>
        </is>
      </c>
      <c r="B26" s="14" t="inlineStr">
        <is>
          <t>Implementation Consultant</t>
        </is>
      </c>
      <c r="C26" s="158" t="n">
        <v>60000</v>
      </c>
      <c r="D26" s="158" t="n">
        <v>2</v>
      </c>
      <c r="E26" s="158" t="n">
        <v>6</v>
      </c>
      <c r="F26" s="158" t="n">
        <v>10</v>
      </c>
      <c r="G26" s="158" t="n">
        <v>16</v>
      </c>
      <c r="H26" s="164">
        <f>$C26*D26/1000000</f>
        <v/>
      </c>
      <c r="I26" s="164">
        <f>$C26*E26/1000000</f>
        <v/>
      </c>
      <c r="J26" s="164">
        <f>$C26*F26/1000000</f>
        <v/>
      </c>
      <c r="K26" s="165">
        <f>$C26*G26/1000000</f>
        <v/>
      </c>
    </row>
    <row r="27">
      <c r="A27" s="13" t="inlineStr">
        <is>
          <t>Operaciones</t>
        </is>
      </c>
      <c r="B27" s="14" t="inlineStr">
        <is>
          <t>Technical Support / Field</t>
        </is>
      </c>
      <c r="C27" s="158" t="n">
        <v>42000</v>
      </c>
      <c r="D27" s="158" t="n">
        <v>2</v>
      </c>
      <c r="E27" s="158" t="n">
        <v>6</v>
      </c>
      <c r="F27" s="158" t="n">
        <v>12</v>
      </c>
      <c r="G27" s="158" t="n">
        <v>20</v>
      </c>
      <c r="H27" s="164">
        <f>$C27*D27/1000000</f>
        <v/>
      </c>
      <c r="I27" s="164">
        <f>$C27*E27/1000000</f>
        <v/>
      </c>
      <c r="J27" s="164">
        <f>$C27*F27/1000000</f>
        <v/>
      </c>
      <c r="K27" s="165">
        <f>$C27*G27/1000000</f>
        <v/>
      </c>
    </row>
    <row r="28">
      <c r="A28" s="13" t="inlineStr">
        <is>
          <t>Operaciones</t>
        </is>
      </c>
      <c r="B28" s="14" t="inlineStr">
        <is>
          <t>Data Ops Analyst</t>
        </is>
      </c>
      <c r="C28" s="158" t="n">
        <v>48000</v>
      </c>
      <c r="D28" s="158" t="n">
        <v>1</v>
      </c>
      <c r="E28" s="158" t="n">
        <v>4</v>
      </c>
      <c r="F28" s="158" t="n">
        <v>8</v>
      </c>
      <c r="G28" s="158" t="n">
        <v>14</v>
      </c>
      <c r="H28" s="164">
        <f>$C28*D28/1000000</f>
        <v/>
      </c>
      <c r="I28" s="164">
        <f>$C28*E28/1000000</f>
        <v/>
      </c>
      <c r="J28" s="164">
        <f>$C28*F28/1000000</f>
        <v/>
      </c>
      <c r="K28" s="165">
        <f>$C28*G28/1000000</f>
        <v/>
      </c>
    </row>
    <row r="29">
      <c r="A29" s="13" t="inlineStr">
        <is>
          <t>GTM</t>
        </is>
      </c>
      <c r="B29" s="14" t="inlineStr">
        <is>
          <t>Business Development</t>
        </is>
      </c>
      <c r="C29" s="158" t="n">
        <v>70000</v>
      </c>
      <c r="D29" s="158" t="n">
        <v>1</v>
      </c>
      <c r="E29" s="158" t="n">
        <v>3</v>
      </c>
      <c r="F29" s="158" t="n">
        <v>5</v>
      </c>
      <c r="G29" s="158" t="n">
        <v>8</v>
      </c>
      <c r="H29" s="164">
        <f>$C29*D29/1000000</f>
        <v/>
      </c>
      <c r="I29" s="164">
        <f>$C29*E29/1000000</f>
        <v/>
      </c>
      <c r="J29" s="164">
        <f>$C29*F29/1000000</f>
        <v/>
      </c>
      <c r="K29" s="165">
        <f>$C29*G29/1000000</f>
        <v/>
      </c>
    </row>
    <row r="30">
      <c r="A30" s="13" t="inlineStr">
        <is>
          <t>GTM</t>
        </is>
      </c>
      <c r="B30" s="14" t="inlineStr">
        <is>
          <t>Key Account / Partnerships</t>
        </is>
      </c>
      <c r="C30" s="158" t="n">
        <v>68000</v>
      </c>
      <c r="D30" s="158" t="n">
        <v>1</v>
      </c>
      <c r="E30" s="158" t="n">
        <v>3</v>
      </c>
      <c r="F30" s="158" t="n">
        <v>6</v>
      </c>
      <c r="G30" s="158" t="n">
        <v>10</v>
      </c>
      <c r="H30" s="164">
        <f>$C30*D30/1000000</f>
        <v/>
      </c>
      <c r="I30" s="164">
        <f>$C30*E30/1000000</f>
        <v/>
      </c>
      <c r="J30" s="164">
        <f>$C30*F30/1000000</f>
        <v/>
      </c>
      <c r="K30" s="165">
        <f>$C30*G30/1000000</f>
        <v/>
      </c>
    </row>
    <row r="31">
      <c r="A31" s="13" t="inlineStr">
        <is>
          <t>GTM</t>
        </is>
      </c>
      <c r="B31" s="14" t="inlineStr">
        <is>
          <t>Marketing / Brand / Web</t>
        </is>
      </c>
      <c r="C31" s="158" t="n">
        <v>55000</v>
      </c>
      <c r="D31" s="158" t="n">
        <v>1</v>
      </c>
      <c r="E31" s="158" t="n">
        <v>2</v>
      </c>
      <c r="F31" s="158" t="n">
        <v>4</v>
      </c>
      <c r="G31" s="158" t="n">
        <v>6</v>
      </c>
      <c r="H31" s="164">
        <f>$C31*D31/1000000</f>
        <v/>
      </c>
      <c r="I31" s="164">
        <f>$C31*E31/1000000</f>
        <v/>
      </c>
      <c r="J31" s="164">
        <f>$C31*F31/1000000</f>
        <v/>
      </c>
      <c r="K31" s="165">
        <f>$C31*G31/1000000</f>
        <v/>
      </c>
    </row>
    <row r="32">
      <c r="A32" s="13" t="inlineStr">
        <is>
          <t>GTM</t>
        </is>
      </c>
      <c r="B32" s="14" t="inlineStr">
        <is>
          <t>Content / Investor Materials</t>
        </is>
      </c>
      <c r="C32" s="158" t="n">
        <v>52000</v>
      </c>
      <c r="D32" s="158" t="n">
        <v>0.5</v>
      </c>
      <c r="E32" s="158" t="n">
        <v>1</v>
      </c>
      <c r="F32" s="158" t="n">
        <v>2</v>
      </c>
      <c r="G32" s="158" t="n">
        <v>3</v>
      </c>
      <c r="H32" s="164">
        <f>$C32*D32/1000000</f>
        <v/>
      </c>
      <c r="I32" s="164">
        <f>$C32*E32/1000000</f>
        <v/>
      </c>
      <c r="J32" s="164">
        <f>$C32*F32/1000000</f>
        <v/>
      </c>
      <c r="K32" s="165">
        <f>$C32*G32/1000000</f>
        <v/>
      </c>
    </row>
    <row r="33">
      <c r="A33" s="13" t="inlineStr">
        <is>
          <t>GTM</t>
        </is>
      </c>
      <c r="B33" s="14" t="inlineStr">
        <is>
          <t>Sales Ops / CRM</t>
        </is>
      </c>
      <c r="C33" s="158" t="n">
        <v>52000</v>
      </c>
      <c r="D33" s="158" t="n">
        <v>0.5</v>
      </c>
      <c r="E33" s="158" t="n">
        <v>1</v>
      </c>
      <c r="F33" s="158" t="n">
        <v>2</v>
      </c>
      <c r="G33" s="158" t="n">
        <v>3</v>
      </c>
      <c r="H33" s="164">
        <f>$C33*D33/1000000</f>
        <v/>
      </c>
      <c r="I33" s="164">
        <f>$C33*E33/1000000</f>
        <v/>
      </c>
      <c r="J33" s="164">
        <f>$C33*F33/1000000</f>
        <v/>
      </c>
      <c r="K33" s="165">
        <f>$C33*G33/1000000</f>
        <v/>
      </c>
    </row>
    <row r="34">
      <c r="A34" s="13" t="inlineStr">
        <is>
          <t>G&amp;A</t>
        </is>
      </c>
      <c r="B34" s="14" t="inlineStr">
        <is>
          <t>Finance / Admin</t>
        </is>
      </c>
      <c r="C34" s="158" t="n">
        <v>48000</v>
      </c>
      <c r="D34" s="158" t="n">
        <v>1</v>
      </c>
      <c r="E34" s="158" t="n">
        <v>2</v>
      </c>
      <c r="F34" s="158" t="n">
        <v>4</v>
      </c>
      <c r="G34" s="158" t="n">
        <v>5</v>
      </c>
      <c r="H34" s="164">
        <f>$C34*D34/1000000</f>
        <v/>
      </c>
      <c r="I34" s="164">
        <f>$C34*E34/1000000</f>
        <v/>
      </c>
      <c r="J34" s="164">
        <f>$C34*F34/1000000</f>
        <v/>
      </c>
      <c r="K34" s="165">
        <f>$C34*G34/1000000</f>
        <v/>
      </c>
    </row>
    <row r="35">
      <c r="A35" s="13" t="inlineStr">
        <is>
          <t>G&amp;A</t>
        </is>
      </c>
      <c r="B35" s="14" t="inlineStr">
        <is>
          <t>Legal / Compliance / IP</t>
        </is>
      </c>
      <c r="C35" s="158" t="n">
        <v>70000</v>
      </c>
      <c r="D35" s="158" t="n">
        <v>0.5</v>
      </c>
      <c r="E35" s="158" t="n">
        <v>1</v>
      </c>
      <c r="F35" s="158" t="n">
        <v>2</v>
      </c>
      <c r="G35" s="158" t="n">
        <v>3</v>
      </c>
      <c r="H35" s="164">
        <f>$C35*D35/1000000</f>
        <v/>
      </c>
      <c r="I35" s="164">
        <f>$C35*E35/1000000</f>
        <v/>
      </c>
      <c r="J35" s="164">
        <f>$C35*F35/1000000</f>
        <v/>
      </c>
      <c r="K35" s="165">
        <f>$C35*G35/1000000</f>
        <v/>
      </c>
    </row>
    <row r="36">
      <c r="A36" s="13" t="inlineStr">
        <is>
          <t>G&amp;A</t>
        </is>
      </c>
      <c r="B36" s="14" t="inlineStr">
        <is>
          <t>People / HR</t>
        </is>
      </c>
      <c r="C36" s="158" t="n">
        <v>55000</v>
      </c>
      <c r="D36" s="158" t="n">
        <v>0</v>
      </c>
      <c r="E36" s="158" t="n">
        <v>1</v>
      </c>
      <c r="F36" s="158" t="n">
        <v>2</v>
      </c>
      <c r="G36" s="158" t="n">
        <v>4</v>
      </c>
      <c r="H36" s="164">
        <f>$C36*D36/1000000</f>
        <v/>
      </c>
      <c r="I36" s="164">
        <f>$C36*E36/1000000</f>
        <v/>
      </c>
      <c r="J36" s="164">
        <f>$C36*F36/1000000</f>
        <v/>
      </c>
      <c r="K36" s="165">
        <f>$C36*G36/1000000</f>
        <v/>
      </c>
    </row>
    <row r="37">
      <c r="A37" s="13" t="inlineStr">
        <is>
          <t>G&amp;A</t>
        </is>
      </c>
      <c r="B37" s="14" t="inlineStr">
        <is>
          <t>Office / Procurement</t>
        </is>
      </c>
      <c r="C37" s="158" t="n">
        <v>42000</v>
      </c>
      <c r="D37" s="158" t="n">
        <v>0.5</v>
      </c>
      <c r="E37" s="158" t="n">
        <v>1</v>
      </c>
      <c r="F37" s="158" t="n">
        <v>2</v>
      </c>
      <c r="G37" s="158" t="n">
        <v>3</v>
      </c>
      <c r="H37" s="164">
        <f>$C37*D37/1000000</f>
        <v/>
      </c>
      <c r="I37" s="164">
        <f>$C37*E37/1000000</f>
        <v/>
      </c>
      <c r="J37" s="164">
        <f>$C37*F37/1000000</f>
        <v/>
      </c>
      <c r="K37" s="165">
        <f>$C37*G37/1000000</f>
        <v/>
      </c>
    </row>
    <row r="38">
      <c r="A38" s="161" t="inlineStr">
        <is>
          <t>TOTAL PERSONAL</t>
        </is>
      </c>
      <c r="B38" s="154" t="str"/>
      <c r="C38" s="154" t="str"/>
      <c r="D38" s="154">
        <f>SUM(D6:D37)</f>
        <v/>
      </c>
      <c r="E38" s="154">
        <f>SUM(E6:E37)</f>
        <v/>
      </c>
      <c r="F38" s="154">
        <f>SUM(F6:F37)</f>
        <v/>
      </c>
      <c r="G38" s="154">
        <f>SUM(G6:G37)</f>
        <v/>
      </c>
      <c r="H38" s="154">
        <f>SUM(H6:H37)</f>
        <v/>
      </c>
      <c r="I38" s="154">
        <f>SUM(I6:I37)</f>
        <v/>
      </c>
      <c r="J38" s="154">
        <f>SUM(J6:J37)</f>
        <v/>
      </c>
      <c r="K38" s="162">
        <f>SUM(K6:K37)</f>
        <v/>
      </c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5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5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5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5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5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5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5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5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5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5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5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5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5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5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5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5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5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5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5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5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5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5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5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5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5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5" t="n"/>
    </row>
    <row r="95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44" customWidth="1" min="8" max="8"/>
  </cols>
  <sheetData>
    <row r="1">
      <c r="A1" s="107" t="inlineStr">
        <is>
          <t>04 OPEX operativo</t>
        </is>
      </c>
      <c r="B1" s="108" t="str"/>
      <c r="C1" s="108" t="str"/>
      <c r="D1" s="108" t="str"/>
      <c r="E1" s="108" t="str"/>
      <c r="F1" s="109" t="str"/>
      <c r="G1" s="109" t="str"/>
      <c r="H1" s="110" t="str"/>
    </row>
    <row r="2">
      <c r="A2" s="111" t="inlineStr">
        <is>
          <t>Detalle no-personal por concepto y driver. EUR M.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Area</t>
        </is>
      </c>
      <c r="B5" s="115" t="inlineStr">
        <is>
          <t>Concepto</t>
        </is>
      </c>
      <c r="C5" s="115" t="inlineStr">
        <is>
          <t>2026/27</t>
        </is>
      </c>
      <c r="D5" s="115" t="inlineStr">
        <is>
          <t>2028</t>
        </is>
      </c>
      <c r="E5" s="115" t="inlineStr">
        <is>
          <t>2029</t>
        </is>
      </c>
      <c r="F5" s="115" t="inlineStr">
        <is>
          <t>2030</t>
        </is>
      </c>
      <c r="G5" s="115" t="inlineStr">
        <is>
          <t>Driver</t>
        </is>
      </c>
      <c r="H5" s="129" t="inlineStr">
        <is>
          <t>Notas</t>
        </is>
      </c>
    </row>
    <row r="6">
      <c r="A6" s="13" t="inlineStr">
        <is>
          <t>Producto y Tecnologia</t>
        </is>
      </c>
      <c r="B6" s="14">
        <f>0.10+'01_Supuestos'!B9*0.14/1000000+'02_Detalle_Ingresos'!B42*0.002</f>
        <v/>
      </c>
      <c r="C6" s="164">
        <f>0.10+'01_Supuestos'!C9*0.14/1000000+'02_Detalle_Ingresos'!C42*0.002</f>
        <v/>
      </c>
      <c r="D6" s="164">
        <f>0.10+'01_Supuestos'!D9*0.14/1000000+'02_Detalle_Ingresos'!D42*0.002</f>
        <v/>
      </c>
      <c r="E6" s="164">
        <f>0.10+'01_Supuestos'!E9*0.14/1000000+'02_Detalle_Ingresos'!E42*0.002</f>
        <v/>
      </c>
      <c r="F6" s="164" t="n"/>
      <c r="G6" s="14" t="inlineStr">
        <is>
          <t>Stock vivo + ingresos</t>
        </is>
      </c>
      <c r="H6" s="15" t="inlineStr">
        <is>
          <t>Infraestructura core, bases de datos, almacenamiento y procesamiento.</t>
        </is>
      </c>
    </row>
    <row r="7">
      <c r="A7" s="13" t="inlineStr">
        <is>
          <t>Producto y Tecnologia</t>
        </is>
      </c>
      <c r="B7" s="14">
        <f>0.04+'03_Detalle_Personal'!D38*1800/1000000</f>
        <v/>
      </c>
      <c r="C7" s="164">
        <f>0.04+'03_Detalle_Personal'!E38*1800/1000000</f>
        <v/>
      </c>
      <c r="D7" s="164">
        <f>0.04+'03_Detalle_Personal'!F38*1800/1000000</f>
        <v/>
      </c>
      <c r="E7" s="164">
        <f>0.04+'03_Detalle_Personal'!G38*1800/1000000</f>
        <v/>
      </c>
      <c r="F7" s="164" t="n"/>
      <c r="G7" s="14" t="inlineStr">
        <is>
          <t>FTE + base</t>
        </is>
      </c>
      <c r="H7" s="15" t="inlineStr">
        <is>
          <t>Seguridad, logs, copias, hardening, monitorizacion y continuidad.</t>
        </is>
      </c>
    </row>
    <row r="8">
      <c r="A8" s="13" t="inlineStr">
        <is>
          <t>Producto y Tecnologia</t>
        </is>
      </c>
      <c r="B8" s="14">
        <f>0.05+'03_Detalle_Personal'!D38*6500/1000000</f>
        <v/>
      </c>
      <c r="C8" s="164">
        <f>0.05+'03_Detalle_Personal'!E38*6500/1000000</f>
        <v/>
      </c>
      <c r="D8" s="164">
        <f>0.05+'03_Detalle_Personal'!F38*6500/1000000</f>
        <v/>
      </c>
      <c r="E8" s="164">
        <f>0.05+'03_Detalle_Personal'!G38*6500/1000000</f>
        <v/>
      </c>
      <c r="F8" s="164" t="n"/>
      <c r="G8" s="14" t="inlineStr">
        <is>
          <t>FTE</t>
        </is>
      </c>
      <c r="H8" s="15" t="inlineStr">
        <is>
          <t>Herramientas de desarrollo, diseño, gestion, test y soporte.</t>
        </is>
      </c>
    </row>
    <row r="9">
      <c r="A9" s="13" t="inlineStr">
        <is>
          <t>Producto y Tecnologia</t>
        </is>
      </c>
      <c r="B9" s="14">
        <f>0.03+'02_Detalle_Ingresos'!B42*0.004</f>
        <v/>
      </c>
      <c r="C9" s="164">
        <f>0.03+'02_Detalle_Ingresos'!C42*0.004</f>
        <v/>
      </c>
      <c r="D9" s="164">
        <f>0.03+'02_Detalle_Ingresos'!D42*0.004</f>
        <v/>
      </c>
      <c r="E9" s="164">
        <f>0.03+'02_Detalle_Ingresos'!E42*0.004</f>
        <v/>
      </c>
      <c r="F9" s="164" t="n"/>
      <c r="G9" s="14" t="inlineStr">
        <is>
          <t>Ingresos</t>
        </is>
      </c>
      <c r="H9" s="15" t="inlineStr">
        <is>
          <t>Uso de API, generacion de proyectos, validaciones y automatizaciones.</t>
        </is>
      </c>
    </row>
    <row r="10">
      <c r="A10" s="13" t="inlineStr">
        <is>
          <t>Producto y Tecnologia</t>
        </is>
      </c>
      <c r="B10" s="14" t="n">
        <v>0.08</v>
      </c>
      <c r="C10" s="164" t="n">
        <v>0.16</v>
      </c>
      <c r="D10" s="164" t="n">
        <v>0.25</v>
      </c>
      <c r="E10" s="164" t="n">
        <v>0.35</v>
      </c>
      <c r="F10" s="164" t="n"/>
      <c r="G10" s="14" t="inlineStr">
        <is>
          <t>Input ramp</t>
        </is>
      </c>
      <c r="H10" s="15" t="inlineStr">
        <is>
          <t>Ambientes de preproduccion, hardware de pruebas y bancos de ensayo.</t>
        </is>
      </c>
    </row>
    <row r="11">
      <c r="A11" s="13" t="inlineStr">
        <is>
          <t>Producto y Tecnologia</t>
        </is>
      </c>
      <c r="B11" s="14">
        <f>0.05+'01_Supuestos'!B8*0.05/1000000</f>
        <v/>
      </c>
      <c r="C11" s="164">
        <f>0.05+'01_Supuestos'!C8*0.05/1000000</f>
        <v/>
      </c>
      <c r="D11" s="164">
        <f>0.05+'01_Supuestos'!D8*0.05/1000000</f>
        <v/>
      </c>
      <c r="E11" s="164">
        <f>0.05+'01_Supuestos'!E8*0.05/1000000</f>
        <v/>
      </c>
      <c r="F11" s="164" t="n"/>
      <c r="G11" s="14" t="inlineStr">
        <is>
          <t>m2 emitidos</t>
        </is>
      </c>
      <c r="H11" s="15" t="inlineStr">
        <is>
          <t>Pruebas de regresion, integracion, fiabilidad y calidad de releases.</t>
        </is>
      </c>
    </row>
    <row r="12">
      <c r="A12" s="13" t="inlineStr">
        <is>
          <t>Producto y Tecnologia</t>
        </is>
      </c>
      <c r="B12" s="14">
        <f>0.04+'01_Supuestos'!B9*0.04/1000000</f>
        <v/>
      </c>
      <c r="C12" s="164">
        <f>0.04+'01_Supuestos'!C9*0.04/1000000</f>
        <v/>
      </c>
      <c r="D12" s="164">
        <f>0.04+'01_Supuestos'!D9*0.04/1000000</f>
        <v/>
      </c>
      <c r="E12" s="164">
        <f>0.04+'01_Supuestos'!E9*0.04/1000000</f>
        <v/>
      </c>
      <c r="F12" s="164" t="n"/>
      <c r="G12" s="14" t="inlineStr">
        <is>
          <t>Stock vivo</t>
        </is>
      </c>
      <c r="H12" s="15" t="inlineStr">
        <is>
          <t>Data pipelines, trazas, control de performance y escalabilidad.</t>
        </is>
      </c>
    </row>
    <row r="13">
      <c r="A13" s="13" t="inlineStr">
        <is>
          <t>Operaciones / Delivery</t>
        </is>
      </c>
      <c r="B13" s="14">
        <f>0.06+'01_Supuestos'!B8*0.12/1000000</f>
        <v/>
      </c>
      <c r="C13" s="164">
        <f>0.06+'01_Supuestos'!C8*0.12/1000000</f>
        <v/>
      </c>
      <c r="D13" s="164">
        <f>0.06+'01_Supuestos'!D8*0.12/1000000</f>
        <v/>
      </c>
      <c r="E13" s="164">
        <f>0.06+'01_Supuestos'!E8*0.12/1000000</f>
        <v/>
      </c>
      <c r="F13" s="164" t="n"/>
      <c r="G13" s="14" t="inlineStr">
        <is>
          <t>m2 emitidos</t>
        </is>
      </c>
      <c r="H13" s="15" t="inlineStr">
        <is>
          <t>Lectores, neuronas fijas/portatiles, sensores y kits de validacion.</t>
        </is>
      </c>
    </row>
    <row r="14">
      <c r="A14" s="13" t="inlineStr">
        <is>
          <t>Operaciones / Delivery</t>
        </is>
      </c>
      <c r="B14" s="14">
        <f>0.04+'01_Supuestos'!B8*0.08/1000000</f>
        <v/>
      </c>
      <c r="C14" s="164">
        <f>0.04+'01_Supuestos'!C8*0.08/1000000</f>
        <v/>
      </c>
      <c r="D14" s="164">
        <f>0.04+'01_Supuestos'!D8*0.08/1000000</f>
        <v/>
      </c>
      <c r="E14" s="164">
        <f>0.04+'01_Supuestos'!E8*0.08/1000000</f>
        <v/>
      </c>
      <c r="F14" s="164" t="n"/>
      <c r="G14" s="14" t="inlineStr">
        <is>
          <t>m2 emitidos</t>
        </is>
      </c>
      <c r="H14" s="15" t="inlineStr">
        <is>
          <t>Material de implantacion, pruebas de campo y reposicion.</t>
        </is>
      </c>
    </row>
    <row r="15">
      <c r="A15" s="13" t="inlineStr">
        <is>
          <t>Operaciones / Delivery</t>
        </is>
      </c>
      <c r="B15" s="14">
        <f>0.08+'02_Detalle_Ingresos'!B42*0.004</f>
        <v/>
      </c>
      <c r="C15" s="164">
        <f>0.08+'02_Detalle_Ingresos'!C42*0.004</f>
        <v/>
      </c>
      <c r="D15" s="164">
        <f>0.08+'02_Detalle_Ingresos'!D42*0.004</f>
        <v/>
      </c>
      <c r="E15" s="164">
        <f>0.08+'02_Detalle_Ingresos'!E42*0.004</f>
        <v/>
      </c>
      <c r="F15" s="164" t="n"/>
      <c r="G15" s="14" t="inlineStr">
        <is>
          <t>Ingresos</t>
        </is>
      </c>
      <c r="H15" s="15" t="inlineStr">
        <is>
          <t>Ensayos, validacion externa, certificaciones y controles de terceros.</t>
        </is>
      </c>
    </row>
    <row r="16">
      <c r="A16" s="13" t="inlineStr">
        <is>
          <t>Operaciones / Delivery</t>
        </is>
      </c>
      <c r="B16" s="14">
        <f>'01_Supuestos'!B10*0.028</f>
        <v/>
      </c>
      <c r="C16" s="164">
        <f>'01_Supuestos'!C10*0.028</f>
        <v/>
      </c>
      <c r="D16" s="164">
        <f>'01_Supuestos'!D10*0.028</f>
        <v/>
      </c>
      <c r="E16" s="164">
        <f>'01_Supuestos'!E10*0.028</f>
        <v/>
      </c>
      <c r="F16" s="164" t="n"/>
      <c r="G16" s="14" t="inlineStr">
        <is>
          <t>Partners activos</t>
        </is>
      </c>
      <c r="H16" s="15" t="inlineStr">
        <is>
          <t>Alta de partners, parametrizacion, sesiones tecnicas y soporte inicial.</t>
        </is>
      </c>
    </row>
    <row r="17">
      <c r="A17" s="13" t="inlineStr">
        <is>
          <t>Operaciones / Delivery</t>
        </is>
      </c>
      <c r="B17" s="14">
        <f>0.04+'01_Supuestos'!B10*0.012</f>
        <v/>
      </c>
      <c r="C17" s="164">
        <f>0.04+'01_Supuestos'!C10*0.012</f>
        <v/>
      </c>
      <c r="D17" s="164">
        <f>0.04+'01_Supuestos'!D10*0.012</f>
        <v/>
      </c>
      <c r="E17" s="164">
        <f>0.04+'01_Supuestos'!E10*0.012</f>
        <v/>
      </c>
      <c r="F17" s="164" t="n"/>
      <c r="G17" s="14" t="inlineStr">
        <is>
          <t>Partners activos</t>
        </is>
      </c>
      <c r="H17" s="15" t="inlineStr">
        <is>
          <t>Contenidos, manuales, protocolos y entrenamiento de red.</t>
        </is>
      </c>
    </row>
    <row r="18">
      <c r="A18" s="13" t="inlineStr">
        <is>
          <t>Operaciones / Delivery</t>
        </is>
      </c>
      <c r="B18" s="14">
        <f>'01_Supuestos'!B10*0.035</f>
        <v/>
      </c>
      <c r="C18" s="164">
        <f>'01_Supuestos'!C10*0.035</f>
        <v/>
      </c>
      <c r="D18" s="164">
        <f>'01_Supuestos'!D10*0.035</f>
        <v/>
      </c>
      <c r="E18" s="164">
        <f>'01_Supuestos'!E10*0.035</f>
        <v/>
      </c>
      <c r="F18" s="164" t="n"/>
      <c r="G18" s="14" t="inlineStr">
        <is>
          <t>Partners activos</t>
        </is>
      </c>
      <c r="H18" s="15" t="inlineStr">
        <is>
          <t>Despliegue, visitas, puesta en marcha y supervision de casos.</t>
        </is>
      </c>
    </row>
    <row r="19">
      <c r="A19" s="13" t="inlineStr">
        <is>
          <t>Operaciones / Delivery</t>
        </is>
      </c>
      <c r="B19" s="14">
        <f>0.03+'01_Supuestos'!B8*0.05/1000000</f>
        <v/>
      </c>
      <c r="C19" s="164">
        <f>0.03+'01_Supuestos'!C8*0.05/1000000</f>
        <v/>
      </c>
      <c r="D19" s="164">
        <f>0.03+'01_Supuestos'!D8*0.05/1000000</f>
        <v/>
      </c>
      <c r="E19" s="164">
        <f>0.03+'01_Supuestos'!E8*0.05/1000000</f>
        <v/>
      </c>
      <c r="F19" s="164" t="n"/>
      <c r="G19" s="14" t="inlineStr">
        <is>
          <t>m2 emitidos</t>
        </is>
      </c>
      <c r="H19" s="15" t="inlineStr">
        <is>
          <t>Sustituciones, desplazamientos urgentes y logistica de incidencias.</t>
        </is>
      </c>
    </row>
    <row r="20">
      <c r="A20" s="13" t="inlineStr">
        <is>
          <t>Operaciones / Delivery</t>
        </is>
      </c>
      <c r="B20" s="14" t="n">
        <v>0.05</v>
      </c>
      <c r="C20" s="164" t="n">
        <v>0.12</v>
      </c>
      <c r="D20" s="164" t="n">
        <v>0.2</v>
      </c>
      <c r="E20" s="164" t="n">
        <v>0.3</v>
      </c>
      <c r="F20" s="164" t="n"/>
      <c r="G20" s="14" t="inlineStr">
        <is>
          <t>Input ramp</t>
        </is>
      </c>
      <c r="H20" s="15" t="inlineStr">
        <is>
          <t>Stock de demostracion, prototipos y material comercial/operativo.</t>
        </is>
      </c>
    </row>
    <row r="21">
      <c r="A21" s="13" t="inlineStr">
        <is>
          <t>Customer Success / Data</t>
        </is>
      </c>
      <c r="B21" s="14">
        <f>0.03+'03_Detalle_Personal'!D38*1200/1000000</f>
        <v/>
      </c>
      <c r="C21" s="164">
        <f>0.03+'03_Detalle_Personal'!E38*1200/1000000</f>
        <v/>
      </c>
      <c r="D21" s="164">
        <f>0.03+'03_Detalle_Personal'!F38*1200/1000000</f>
        <v/>
      </c>
      <c r="E21" s="164">
        <f>0.03+'03_Detalle_Personal'!G38*1200/1000000</f>
        <v/>
      </c>
      <c r="F21" s="164" t="n"/>
      <c r="G21" s="14" t="inlineStr">
        <is>
          <t>FTE</t>
        </is>
      </c>
      <c r="H21" s="15" t="inlineStr">
        <is>
          <t>Sistemas de soporte, bases de conocimiento y atencion a clientes.</t>
        </is>
      </c>
    </row>
    <row r="22">
      <c r="A22" s="13" t="inlineStr">
        <is>
          <t>Customer Success / Data</t>
        </is>
      </c>
      <c r="B22" s="14">
        <f>0.05+'01_Supuestos'!B9*0.07/1000000</f>
        <v/>
      </c>
      <c r="C22" s="164">
        <f>0.05+'01_Supuestos'!C9*0.07/1000000</f>
        <v/>
      </c>
      <c r="D22" s="164">
        <f>0.05+'01_Supuestos'!D9*0.07/1000000</f>
        <v/>
      </c>
      <c r="E22" s="164">
        <f>0.05+'01_Supuestos'!E9*0.07/1000000</f>
        <v/>
      </c>
      <c r="F22" s="164" t="n"/>
      <c r="G22" s="14" t="inlineStr">
        <is>
          <t>Stock vivo</t>
        </is>
      </c>
      <c r="H22" s="15" t="inlineStr">
        <is>
          <t>Explotacion de datos, reporting recurrente y control de evidencias.</t>
        </is>
      </c>
    </row>
    <row r="23">
      <c r="A23" s="13" t="inlineStr">
        <is>
          <t>Customer Success / Data</t>
        </is>
      </c>
      <c r="B23" s="14">
        <f>0.03+'02_Detalle_Ingresos'!B42*0.0015</f>
        <v/>
      </c>
      <c r="C23" s="164">
        <f>0.03+'02_Detalle_Ingresos'!C42*0.0015</f>
        <v/>
      </c>
      <c r="D23" s="164">
        <f>0.03+'02_Detalle_Ingresos'!D42*0.0015</f>
        <v/>
      </c>
      <c r="E23" s="164">
        <f>0.03+'02_Detalle_Ingresos'!E42*0.0015</f>
        <v/>
      </c>
      <c r="F23" s="164" t="n"/>
      <c r="G23" s="14" t="inlineStr">
        <is>
          <t>Ingresos</t>
        </is>
      </c>
      <c r="H23" s="15" t="inlineStr">
        <is>
          <t>Monitorizacion de SLA, calidad y cumplimiento operativo.</t>
        </is>
      </c>
    </row>
    <row r="24">
      <c r="A24" s="13" t="inlineStr">
        <is>
          <t>Customer Success / Data</t>
        </is>
      </c>
      <c r="B24" s="14">
        <f>0.02+'01_Supuestos'!B10*0.008</f>
        <v/>
      </c>
      <c r="C24" s="164">
        <f>0.02+'01_Supuestos'!C10*0.008</f>
        <v/>
      </c>
      <c r="D24" s="164">
        <f>0.02+'01_Supuestos'!D10*0.008</f>
        <v/>
      </c>
      <c r="E24" s="164">
        <f>0.02+'01_Supuestos'!E10*0.008</f>
        <v/>
      </c>
      <c r="F24" s="164" t="n"/>
      <c r="G24" s="14" t="inlineStr">
        <is>
          <t>Partners activos</t>
        </is>
      </c>
      <c r="H24" s="15" t="inlineStr">
        <is>
          <t>Biblioteca documental, plantillas de entrega y guias de uso.</t>
        </is>
      </c>
    </row>
    <row r="25">
      <c r="A25" s="13" t="inlineStr">
        <is>
          <t>GTM / Marketing</t>
        </is>
      </c>
      <c r="B25" s="14" t="n">
        <v>0.2</v>
      </c>
      <c r="C25" s="164" t="n">
        <v>0.45</v>
      </c>
      <c r="D25" s="164" t="n">
        <v>0.7</v>
      </c>
      <c r="E25" s="164" t="n">
        <v>1</v>
      </c>
      <c r="F25" s="164" t="n"/>
      <c r="G25" s="14" t="inlineStr">
        <is>
          <t>Input ramp</t>
        </is>
      </c>
      <c r="H25" s="15" t="inlineStr">
        <is>
          <t>Marca, web, narrativa, piezas comerciales y documentacion publica.</t>
        </is>
      </c>
    </row>
    <row r="26">
      <c r="A26" s="13" t="inlineStr">
        <is>
          <t>GTM / Marketing</t>
        </is>
      </c>
      <c r="B26" s="14" t="n">
        <v>0.09</v>
      </c>
      <c r="C26" s="164" t="n">
        <v>0.25</v>
      </c>
      <c r="D26" s="164" t="n">
        <v>0.45</v>
      </c>
      <c r="E26" s="164" t="n">
        <v>0.7</v>
      </c>
      <c r="F26" s="164" t="n"/>
      <c r="G26" s="14" t="inlineStr">
        <is>
          <t>Input ramp</t>
        </is>
      </c>
      <c r="H26" s="15" t="inlineStr">
        <is>
          <t>Demostradores, presencia sectorial, jornadas y pruebas comerciales.</t>
        </is>
      </c>
    </row>
    <row r="27">
      <c r="A27" s="13" t="inlineStr">
        <is>
          <t>GTM / Marketing</t>
        </is>
      </c>
      <c r="B27" s="14">
        <f>'02_Detalle_Ingresos'!B42*0.02</f>
        <v/>
      </c>
      <c r="C27" s="164">
        <f>'02_Detalle_Ingresos'!C42*0.02</f>
        <v/>
      </c>
      <c r="D27" s="164">
        <f>'02_Detalle_Ingresos'!D42*0.02</f>
        <v/>
      </c>
      <c r="E27" s="164">
        <f>'02_Detalle_Ingresos'!E42*0.02</f>
        <v/>
      </c>
      <c r="F27" s="164" t="n"/>
      <c r="G27" s="14" t="inlineStr">
        <is>
          <t>Ingresos</t>
        </is>
      </c>
      <c r="H27" s="15" t="inlineStr">
        <is>
          <t>Comisiones, referral, canal y soporte a partners comerciales.</t>
        </is>
      </c>
    </row>
    <row r="28">
      <c r="A28" s="13" t="inlineStr">
        <is>
          <t>GTM / Marketing</t>
        </is>
      </c>
      <c r="B28" s="14">
        <f>0.04+'01_Supuestos'!B10*0.015</f>
        <v/>
      </c>
      <c r="C28" s="164">
        <f>0.04+'01_Supuestos'!C10*0.015</f>
        <v/>
      </c>
      <c r="D28" s="164">
        <f>0.04+'01_Supuestos'!D10*0.015</f>
        <v/>
      </c>
      <c r="E28" s="164">
        <f>0.04+'01_Supuestos'!E10*0.015</f>
        <v/>
      </c>
      <c r="F28" s="164" t="n"/>
      <c r="G28" s="14" t="inlineStr">
        <is>
          <t>Partners activos</t>
        </is>
      </c>
      <c r="H28" s="15" t="inlineStr">
        <is>
          <t>Materiales, sesiones, campañas con partners y soporte a venta.</t>
        </is>
      </c>
    </row>
    <row r="29">
      <c r="A29" s="13" t="inlineStr">
        <is>
          <t>GTM / Marketing</t>
        </is>
      </c>
      <c r="B29" s="14" t="n">
        <v>0.05</v>
      </c>
      <c r="C29" s="164" t="n">
        <v>0.1</v>
      </c>
      <c r="D29" s="164" t="n">
        <v>0.14</v>
      </c>
      <c r="E29" s="164" t="n">
        <v>0.18</v>
      </c>
      <c r="F29" s="164" t="n"/>
      <c r="G29" s="14" t="inlineStr">
        <is>
          <t>Input ramp</t>
        </is>
      </c>
      <c r="H29" s="15" t="inlineStr">
        <is>
          <t>Documentos, decks, actualizaciones y material de reporting externo.</t>
        </is>
      </c>
    </row>
    <row r="30">
      <c r="A30" s="13" t="inlineStr">
        <is>
          <t>GTM / Marketing</t>
        </is>
      </c>
      <c r="B30" s="14">
        <f>0.03+'03_Detalle_Personal'!D38*1000/1000000</f>
        <v/>
      </c>
      <c r="C30" s="164">
        <f>0.03+'03_Detalle_Personal'!E38*1000/1000000</f>
        <v/>
      </c>
      <c r="D30" s="164">
        <f>0.03+'03_Detalle_Personal'!F38*1000/1000000</f>
        <v/>
      </c>
      <c r="E30" s="164">
        <f>0.03+'03_Detalle_Personal'!G38*1000/1000000</f>
        <v/>
      </c>
      <c r="F30" s="164" t="n"/>
      <c r="G30" s="14" t="inlineStr">
        <is>
          <t>FTE</t>
        </is>
      </c>
      <c r="H30" s="15" t="inlineStr">
        <is>
          <t>CRM, analitica comercial, reporting de pipeline y automatizaciones.</t>
        </is>
      </c>
    </row>
    <row r="31">
      <c r="A31" s="13" t="inlineStr">
        <is>
          <t>G&amp;A</t>
        </is>
      </c>
      <c r="B31" s="14" t="n">
        <v>0.16</v>
      </c>
      <c r="C31" s="164" t="n">
        <v>0.28</v>
      </c>
      <c r="D31" s="164" t="n">
        <v>0.42</v>
      </c>
      <c r="E31" s="164" t="n">
        <v>0.58</v>
      </c>
      <c r="F31" s="164" t="n"/>
      <c r="G31" s="14" t="inlineStr">
        <is>
          <t>Input ramp</t>
        </is>
      </c>
      <c r="H31" s="15" t="inlineStr">
        <is>
          <t>Legal, propiedad intelectual, contratos, compliance y privacidad.</t>
        </is>
      </c>
    </row>
    <row r="32">
      <c r="A32" s="13" t="inlineStr">
        <is>
          <t>G&amp;A</t>
        </is>
      </c>
      <c r="B32" s="14">
        <f>0.14+'02_Detalle_Ingresos'!B42*0.003</f>
        <v/>
      </c>
      <c r="C32" s="164">
        <f>0.14+'02_Detalle_Ingresos'!C42*0.003</f>
        <v/>
      </c>
      <c r="D32" s="164">
        <f>0.14+'02_Detalle_Ingresos'!D42*0.003</f>
        <v/>
      </c>
      <c r="E32" s="164">
        <f>0.14+'02_Detalle_Ingresos'!E42*0.003</f>
        <v/>
      </c>
      <c r="F32" s="164" t="n"/>
      <c r="G32" s="14" t="inlineStr">
        <is>
          <t>Ingresos</t>
        </is>
      </c>
      <c r="H32" s="15" t="inlineStr">
        <is>
          <t>Administracion, seguros, reporting financiero, bancos y control.</t>
        </is>
      </c>
    </row>
    <row r="33">
      <c r="A33" s="13" t="inlineStr">
        <is>
          <t>G&amp;A</t>
        </is>
      </c>
      <c r="B33" s="14">
        <f>'03_Detalle_Personal'!D38*5500/1000000</f>
        <v/>
      </c>
      <c r="C33" s="164">
        <f>'03_Detalle_Personal'!E38*5500/1000000</f>
        <v/>
      </c>
      <c r="D33" s="164">
        <f>'03_Detalle_Personal'!F38*5500/1000000</f>
        <v/>
      </c>
      <c r="E33" s="164">
        <f>'03_Detalle_Personal'!G38*5500/1000000</f>
        <v/>
      </c>
      <c r="F33" s="164" t="n"/>
      <c r="G33" s="14" t="inlineStr">
        <is>
          <t>FTE</t>
        </is>
      </c>
      <c r="H33" s="15" t="inlineStr">
        <is>
          <t>Puestos, equipos, hub operativo, comunicaciones y facilities.</t>
        </is>
      </c>
    </row>
    <row r="34">
      <c r="A34" s="13" t="inlineStr">
        <is>
          <t>G&amp;A</t>
        </is>
      </c>
      <c r="B34" s="14" t="n">
        <v>0.14</v>
      </c>
      <c r="C34" s="164" t="n">
        <v>0.24</v>
      </c>
      <c r="D34" s="164" t="n">
        <v>0.35</v>
      </c>
      <c r="E34" s="164" t="n">
        <v>0.5</v>
      </c>
      <c r="F34" s="164" t="n"/>
      <c r="G34" s="14" t="inlineStr">
        <is>
          <t>Input ramp</t>
        </is>
      </c>
      <c r="H34" s="15" t="inlineStr">
        <is>
          <t>Auditoria, asesores especialistas, reporting y soporte corporativo.</t>
        </is>
      </c>
    </row>
    <row r="35">
      <c r="A35" s="13" t="inlineStr">
        <is>
          <t>G&amp;A</t>
        </is>
      </c>
      <c r="B35" s="14">
        <f>0.03+'03_Detalle_Personal'!D38*2500/1000000</f>
        <v/>
      </c>
      <c r="C35" s="164">
        <f>0.03+'03_Detalle_Personal'!E38*2500/1000000</f>
        <v/>
      </c>
      <c r="D35" s="164">
        <f>0.03+'03_Detalle_Personal'!F38*2500/1000000</f>
        <v/>
      </c>
      <c r="E35" s="164">
        <f>0.03+'03_Detalle_Personal'!G38*2500/1000000</f>
        <v/>
      </c>
      <c r="F35" s="164" t="n"/>
      <c r="G35" s="14" t="inlineStr">
        <is>
          <t>FTE</t>
        </is>
      </c>
      <c r="H35" s="15" t="inlineStr">
        <is>
          <t>Seleccion, formacion, onboarding operativo y cultura operativa.</t>
        </is>
      </c>
    </row>
    <row r="36">
      <c r="A36" s="13" t="inlineStr">
        <is>
          <t>G&amp;A</t>
        </is>
      </c>
      <c r="B36" s="14" t="n">
        <v>0.04</v>
      </c>
      <c r="C36" s="164" t="n">
        <v>0.08</v>
      </c>
      <c r="D36" s="164" t="n">
        <v>0.12</v>
      </c>
      <c r="E36" s="164" t="n">
        <v>0.18</v>
      </c>
      <c r="F36" s="164" t="n"/>
      <c r="G36" s="14" t="inlineStr">
        <is>
          <t>Input ramp</t>
        </is>
      </c>
      <c r="H36" s="15" t="inlineStr">
        <is>
          <t>Gobernanza, secretariado, consejo, reporting accionarial.</t>
        </is>
      </c>
    </row>
    <row r="37">
      <c r="A37" s="13" t="inlineStr">
        <is>
          <t>Reserva / contingencia</t>
        </is>
      </c>
      <c r="B37" s="14">
        <f>SUM(B6:B36)*0.04</f>
        <v/>
      </c>
      <c r="C37" s="164">
        <f>SUM(C6:C36)*0.04</f>
        <v/>
      </c>
      <c r="D37" s="164">
        <f>SUM(D6:D36)*0.04</f>
        <v/>
      </c>
      <c r="E37" s="164">
        <f>SUM(E6:E36)*0.04</f>
        <v/>
      </c>
      <c r="F37" s="164" t="n"/>
      <c r="G37" s="14" t="inlineStr">
        <is>
          <t>% subtotal no-personal</t>
        </is>
      </c>
      <c r="H37" s="15" t="inlineStr">
        <is>
          <t>Reserva del 4% sobre OPEX operativo no-personal antes de contingencia.</t>
        </is>
      </c>
    </row>
    <row r="38">
      <c r="A38" s="161" t="inlineStr">
        <is>
          <t>TOTAL OPEX OPERATIVO</t>
        </is>
      </c>
      <c r="B38" s="154" t="str"/>
      <c r="C38" s="154">
        <f>SUM(C6:C37)</f>
        <v/>
      </c>
      <c r="D38" s="154">
        <f>SUM(D6:D37)</f>
        <v/>
      </c>
      <c r="E38" s="154">
        <f>SUM(E6:E37)</f>
        <v/>
      </c>
      <c r="F38" s="154">
        <f>SUM(F6:F37)</f>
        <v/>
      </c>
      <c r="G38" s="154" t="n"/>
      <c r="H38" s="162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5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5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5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5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5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5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5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5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5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5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5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5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5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5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5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5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5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5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5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5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5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5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5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5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5" t="n"/>
    </row>
    <row r="95">
      <c r="A95" s="16" t="n"/>
      <c r="B95" s="17" t="n"/>
      <c r="C95" s="17" t="n"/>
      <c r="D95" s="17" t="n"/>
      <c r="E95" s="17" t="n"/>
      <c r="F95" s="17" t="n"/>
      <c r="G95" s="17" t="n"/>
      <c r="H95" s="1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  <col width="38" customWidth="1" min="7" max="7"/>
    <col width="38" customWidth="1" min="8" max="8"/>
  </cols>
  <sheetData>
    <row r="1">
      <c r="A1" s="107" t="inlineStr">
        <is>
          <t>05 Detalle de OPEX</t>
        </is>
      </c>
      <c r="B1" s="108" t="str"/>
      <c r="C1" s="108" t="str"/>
      <c r="D1" s="108" t="str"/>
      <c r="E1" s="108" t="str"/>
      <c r="F1" s="109" t="str"/>
      <c r="G1" s="109" t="str"/>
      <c r="H1" s="110" t="str"/>
    </row>
    <row r="2">
      <c r="A2" s="111" t="inlineStr">
        <is>
          <t>Roll-up de OPEX por categoria. EUR M.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Categoria</t>
        </is>
      </c>
      <c r="B5" s="115" t="inlineStr">
        <is>
          <t>2026/27</t>
        </is>
      </c>
      <c r="C5" s="115" t="inlineStr">
        <is>
          <t>2028</t>
        </is>
      </c>
      <c r="D5" s="115" t="inlineStr">
        <is>
          <t>2029</t>
        </is>
      </c>
      <c r="E5" s="115" t="inlineStr">
        <is>
          <t>2030</t>
        </is>
      </c>
      <c r="F5" s="115" t="inlineStr">
        <is>
          <t>Driver / detalle</t>
        </is>
      </c>
      <c r="G5" s="115" t="inlineStr">
        <is>
          <t>Notas</t>
        </is>
      </c>
      <c r="H5" s="129" t="inlineStr">
        <is>
          <t>Fuente</t>
        </is>
      </c>
    </row>
    <row r="6">
      <c r="A6" s="13" t="inlineStr">
        <is>
          <t>Personal</t>
        </is>
      </c>
      <c r="B6" s="163">
        <f>'03_Detalle_Personal'!H38</f>
        <v/>
      </c>
      <c r="C6" s="163">
        <f>'03_Detalle_Personal'!I38</f>
        <v/>
      </c>
      <c r="D6" s="163">
        <f>'03_Detalle_Personal'!J38</f>
        <v/>
      </c>
      <c r="E6" s="163">
        <f>'03_Detalle_Personal'!K38</f>
        <v/>
      </c>
      <c r="F6" s="14" t="inlineStr">
        <is>
          <t>Perfiles x FTE x sueldo</t>
        </is>
      </c>
      <c r="G6" s="14" t="inlineStr">
        <is>
          <t>Detalle por perfil</t>
        </is>
      </c>
      <c r="H6" s="15" t="inlineStr">
        <is>
          <t>03_Detalle_Personal</t>
        </is>
      </c>
    </row>
    <row r="7">
      <c r="A7" s="13" t="inlineStr">
        <is>
          <t>Producto y Tecnologia</t>
        </is>
      </c>
      <c r="B7" s="163">
        <f>SUMIF('04_OPEX_Operativo'!$A$6:$A$37,"Producto y Tecnologia",'04_OPEX_Operativo'!C$6:C$37)</f>
        <v/>
      </c>
      <c r="C7" s="163">
        <f>SUMIF('04_OPEX_Operativo'!$A$6:$A$37,"Producto y Tecnologia",'04_OPEX_Operativo'!D$6:D$37)</f>
        <v/>
      </c>
      <c r="D7" s="163">
        <f>SUMIF('04_OPEX_Operativo'!$A$6:$A$37,"Producto y Tecnologia",'04_OPEX_Operativo'!E$6:E$37)</f>
        <v/>
      </c>
      <c r="E7" s="163">
        <f>SUMIF('04_OPEX_Operativo'!$A$6:$A$37,"Producto y Tecnologia",'04_OPEX_Operativo'!F$6:F$37)</f>
        <v/>
      </c>
      <c r="F7" s="14" t="inlineStr">
        <is>
          <t>Cloud + seguridad + IA/API + QA</t>
        </is>
      </c>
      <c r="G7" s="14" t="inlineStr">
        <is>
          <t>Detalle no-personal</t>
        </is>
      </c>
      <c r="H7" s="15" t="inlineStr">
        <is>
          <t>04_OPEX_Operativo</t>
        </is>
      </c>
    </row>
    <row r="8">
      <c r="A8" s="13" t="inlineStr">
        <is>
          <t>Operaciones / Delivery</t>
        </is>
      </c>
      <c r="B8" s="163">
        <f>SUMIF('04_OPEX_Operativo'!$A$6:$A$37,"Operaciones / Delivery",'04_OPEX_Operativo'!C$6:C$37)</f>
        <v/>
      </c>
      <c r="C8" s="163">
        <f>SUMIF('04_OPEX_Operativo'!$A$6:$A$37,"Operaciones / Delivery",'04_OPEX_Operativo'!D$6:D$37)</f>
        <v/>
      </c>
      <c r="D8" s="163">
        <f>SUMIF('04_OPEX_Operativo'!$A$6:$A$37,"Operaciones / Delivery",'04_OPEX_Operativo'!E$6:E$37)</f>
        <v/>
      </c>
      <c r="E8" s="163">
        <f>SUMIF('04_OPEX_Operativo'!$A$6:$A$37,"Operaciones / Delivery",'04_OPEX_Operativo'!F$6:F$37)</f>
        <v/>
      </c>
      <c r="F8" s="14" t="inlineStr">
        <is>
          <t>IoT + QA + training + field</t>
        </is>
      </c>
      <c r="G8" s="14" t="inlineStr">
        <is>
          <t>Detalle no-personal</t>
        </is>
      </c>
      <c r="H8" s="15" t="inlineStr">
        <is>
          <t>04_OPEX_Operativo</t>
        </is>
      </c>
    </row>
    <row r="9">
      <c r="A9" s="13" t="inlineStr">
        <is>
          <t>Customer Success / Data</t>
        </is>
      </c>
      <c r="B9" s="163">
        <f>SUMIF('04_OPEX_Operativo'!$A$6:$A$37,"Customer Success / Data",'04_OPEX_Operativo'!C$6:C$37)</f>
        <v/>
      </c>
      <c r="C9" s="163">
        <f>SUMIF('04_OPEX_Operativo'!$A$6:$A$37,"Customer Success / Data",'04_OPEX_Operativo'!D$6:D$37)</f>
        <v/>
      </c>
      <c r="D9" s="163">
        <f>SUMIF('04_OPEX_Operativo'!$A$6:$A$37,"Customer Success / Data",'04_OPEX_Operativo'!E$6:E$37)</f>
        <v/>
      </c>
      <c r="E9" s="163">
        <f>SUMIF('04_OPEX_Operativo'!$A$6:$A$37,"Customer Success / Data",'04_OPEX_Operativo'!F$6:F$37)</f>
        <v/>
      </c>
      <c r="F9" s="14" t="inlineStr">
        <is>
          <t>Soporte + datos + SLA</t>
        </is>
      </c>
      <c r="G9" s="14" t="inlineStr">
        <is>
          <t>Detalle no-personal</t>
        </is>
      </c>
      <c r="H9" s="15" t="inlineStr">
        <is>
          <t>04_OPEX_Operativo</t>
        </is>
      </c>
    </row>
    <row r="10">
      <c r="A10" s="13" t="inlineStr">
        <is>
          <t>GTM / Marketing</t>
        </is>
      </c>
      <c r="B10" s="163">
        <f>SUMIF('04_OPEX_Operativo'!$A$6:$A$37,"GTM / Marketing",'04_OPEX_Operativo'!C$6:C$37)</f>
        <v/>
      </c>
      <c r="C10" s="163">
        <f>SUMIF('04_OPEX_Operativo'!$A$6:$A$37,"GTM / Marketing",'04_OPEX_Operativo'!D$6:D$37)</f>
        <v/>
      </c>
      <c r="D10" s="163">
        <f>SUMIF('04_OPEX_Operativo'!$A$6:$A$37,"GTM / Marketing",'04_OPEX_Operativo'!E$6:E$37)</f>
        <v/>
      </c>
      <c r="E10" s="163">
        <f>SUMIF('04_OPEX_Operativo'!$A$6:$A$37,"GTM / Marketing",'04_OPEX_Operativo'!F$6:F$37)</f>
        <v/>
      </c>
      <c r="F10" s="14" t="inlineStr">
        <is>
          <t>Marca + canal + eventos + CRM</t>
        </is>
      </c>
      <c r="G10" s="14" t="inlineStr">
        <is>
          <t>Detalle no-personal</t>
        </is>
      </c>
      <c r="H10" s="15" t="inlineStr">
        <is>
          <t>04_OPEX_Operativo</t>
        </is>
      </c>
    </row>
    <row r="11">
      <c r="A11" s="13" t="inlineStr">
        <is>
          <t>G&amp;A</t>
        </is>
      </c>
      <c r="B11" s="163">
        <f>SUMIF('04_OPEX_Operativo'!$A$6:$A$37,"G&amp;A",'04_OPEX_Operativo'!C$6:C$37)</f>
        <v/>
      </c>
      <c r="C11" s="163">
        <f>SUMIF('04_OPEX_Operativo'!$A$6:$A$37,"G&amp;A",'04_OPEX_Operativo'!D$6:D$37)</f>
        <v/>
      </c>
      <c r="D11" s="163">
        <f>SUMIF('04_OPEX_Operativo'!$A$6:$A$37,"G&amp;A",'04_OPEX_Operativo'!E$6:E$37)</f>
        <v/>
      </c>
      <c r="E11" s="163">
        <f>SUMIF('04_OPEX_Operativo'!$A$6:$A$37,"G&amp;A",'04_OPEX_Operativo'!F$6:F$37)</f>
        <v/>
      </c>
      <c r="F11" s="14" t="inlineStr">
        <is>
          <t>Legal + finanzas + oficina + governance</t>
        </is>
      </c>
      <c r="G11" s="14" t="inlineStr">
        <is>
          <t>Detalle no-personal</t>
        </is>
      </c>
      <c r="H11" s="15" t="inlineStr">
        <is>
          <t>04_OPEX_Operativo</t>
        </is>
      </c>
    </row>
    <row r="12">
      <c r="A12" s="13" t="inlineStr">
        <is>
          <t>Reserva / contingencia</t>
        </is>
      </c>
      <c r="B12" s="163">
        <f>SUMIF('04_OPEX_Operativo'!$A$6:$A$37,"Reserva / contingencia",'04_OPEX_Operativo'!C$6:C$37)</f>
        <v/>
      </c>
      <c r="C12" s="163">
        <f>SUMIF('04_OPEX_Operativo'!$A$6:$A$37,"Reserva / contingencia",'04_OPEX_Operativo'!D$6:D$37)</f>
        <v/>
      </c>
      <c r="D12" s="163">
        <f>SUMIF('04_OPEX_Operativo'!$A$6:$A$37,"Reserva / contingencia",'04_OPEX_Operativo'!E$6:E$37)</f>
        <v/>
      </c>
      <c r="E12" s="163">
        <f>SUMIF('04_OPEX_Operativo'!$A$6:$A$37,"Reserva / contingencia",'04_OPEX_Operativo'!F$6:F$37)</f>
        <v/>
      </c>
      <c r="F12" s="14" t="inlineStr">
        <is>
          <t>4% subtotal OPEX operativo</t>
        </is>
      </c>
      <c r="G12" s="14" t="inlineStr">
        <is>
          <t>Contingencia</t>
        </is>
      </c>
      <c r="H12" s="15" t="inlineStr">
        <is>
          <t>04_OPEX_Operativo</t>
        </is>
      </c>
    </row>
    <row r="13">
      <c r="A13" s="161" t="inlineStr">
        <is>
          <t>OPEX no-personal</t>
        </is>
      </c>
      <c r="B13" s="154">
        <f>SUM(B7:B12)</f>
        <v/>
      </c>
      <c r="C13" s="154">
        <f>SUM(C7:C12)</f>
        <v/>
      </c>
      <c r="D13" s="154">
        <f>SUM(D7:D12)</f>
        <v/>
      </c>
      <c r="E13" s="154">
        <f>SUM(E7:E12)</f>
        <v/>
      </c>
      <c r="F13" s="154" t="inlineStr">
        <is>
          <t>SUM categorias no-personal</t>
        </is>
      </c>
      <c r="G13" s="154" t="inlineStr">
        <is>
          <t>Subtotal</t>
        </is>
      </c>
      <c r="H13" s="162" t="str"/>
    </row>
    <row r="14">
      <c r="A14" s="161" t="inlineStr">
        <is>
          <t>TOTAL OPEX</t>
        </is>
      </c>
      <c r="B14" s="154">
        <f>B6+B13</f>
        <v/>
      </c>
      <c r="C14" s="154">
        <f>C6+C13</f>
        <v/>
      </c>
      <c r="D14" s="154">
        <f>D6+D13</f>
        <v/>
      </c>
      <c r="E14" s="154">
        <f>E6+E13</f>
        <v/>
      </c>
      <c r="F14" s="154" t="inlineStr">
        <is>
          <t>Personal + no-personal</t>
        </is>
      </c>
      <c r="G14" s="154" t="inlineStr">
        <is>
          <t>Alimenta cuenta de resultados</t>
        </is>
      </c>
      <c r="H14" s="162" t="str"/>
    </row>
    <row r="15">
      <c r="A15" s="13" t="inlineStr">
        <is>
          <t>OPEX / ingresos</t>
        </is>
      </c>
      <c r="B15" s="166">
        <f>IF('02_Detalle_Ingresos'!B42=0,0,B14/'02_Detalle_Ingresos'!B42)</f>
        <v/>
      </c>
      <c r="C15" s="166">
        <f>IF('02_Detalle_Ingresos'!C42=0,0,C14/'02_Detalle_Ingresos'!C42)</f>
        <v/>
      </c>
      <c r="D15" s="166">
        <f>IF('02_Detalle_Ingresos'!D42=0,0,D14/'02_Detalle_Ingresos'!D42)</f>
        <v/>
      </c>
      <c r="E15" s="166">
        <f>IF('02_Detalle_Ingresos'!E42=0,0,E14/'02_Detalle_Ingresos'!E42)</f>
        <v/>
      </c>
      <c r="F15" s="14" t="inlineStr">
        <is>
          <t>Total OPEX / ingresos</t>
        </is>
      </c>
      <c r="G15" s="14" t="inlineStr">
        <is>
          <t>Ratio operativo</t>
        </is>
      </c>
      <c r="H15" s="15" t="str"/>
    </row>
    <row r="16">
      <c r="A16" s="13" t="n"/>
      <c r="B16" s="14" t="n"/>
      <c r="C16" s="14" t="n"/>
      <c r="D16" s="14" t="n"/>
      <c r="E16" s="14" t="n"/>
      <c r="F16" s="14" t="n"/>
      <c r="G16" s="14" t="n"/>
      <c r="H16" s="15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5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5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5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5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5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5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5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5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5" t="n"/>
    </row>
    <row r="75">
      <c r="A75" s="16" t="n"/>
      <c r="B75" s="17" t="n"/>
      <c r="C75" s="17" t="n"/>
      <c r="D75" s="17" t="n"/>
      <c r="E75" s="17" t="n"/>
      <c r="F75" s="17" t="n"/>
      <c r="G75" s="17" t="n"/>
      <c r="H75" s="1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  <col width="38" customWidth="1" min="7" max="7"/>
    <col width="38" customWidth="1" min="8" max="8"/>
  </cols>
  <sheetData>
    <row r="1">
      <c r="A1" s="107" t="inlineStr">
        <is>
          <t>06 Cuenta de resultados</t>
        </is>
      </c>
      <c r="B1" s="108" t="str"/>
      <c r="C1" s="108" t="str"/>
      <c r="D1" s="108" t="str"/>
      <c r="E1" s="108" t="str"/>
      <c r="F1" s="109" t="str"/>
      <c r="G1" s="119" t="n"/>
      <c r="H1" s="120" t="n"/>
    </row>
    <row r="2">
      <c r="A2" s="111" t="inlineStr">
        <is>
          <t>Ingresos, margen bruto, OPEX, EBITDA, EBIT, resultado antes de impuestos y resultado neto. EUR M.</t>
        </is>
      </c>
      <c r="B2" s="112" t="str"/>
      <c r="C2" s="112" t="str"/>
      <c r="D2" s="112" t="str"/>
      <c r="E2" s="112" t="str"/>
      <c r="F2" s="112" t="str"/>
      <c r="G2" s="121" t="n"/>
      <c r="H2" s="122" t="n"/>
    </row>
    <row r="3">
      <c r="A3" s="13" t="str"/>
      <c r="B3" s="14" t="str"/>
      <c r="C3" s="14" t="str"/>
      <c r="D3" s="14" t="str"/>
      <c r="E3" s="14" t="str"/>
      <c r="F3" s="14" t="str"/>
      <c r="G3" s="121" t="n"/>
      <c r="H3" s="122" t="n"/>
    </row>
    <row r="4">
      <c r="A4" s="13" t="n"/>
      <c r="B4" s="14" t="n"/>
      <c r="C4" s="14" t="n"/>
      <c r="D4" s="14" t="n"/>
      <c r="E4" s="14" t="n"/>
      <c r="F4" s="14" t="n"/>
      <c r="G4" s="121" t="n"/>
      <c r="H4" s="122" t="n"/>
    </row>
    <row r="5">
      <c r="A5" s="114" t="inlineStr">
        <is>
          <t>Concepto</t>
        </is>
      </c>
      <c r="B5" s="159" t="inlineStr">
        <is>
          <t>2026/27</t>
        </is>
      </c>
      <c r="C5" s="159" t="inlineStr">
        <is>
          <t>2028</t>
        </is>
      </c>
      <c r="D5" s="159" t="inlineStr">
        <is>
          <t>2029</t>
        </is>
      </c>
      <c r="E5" s="159" t="inlineStr">
        <is>
          <t>2030</t>
        </is>
      </c>
      <c r="F5" s="115" t="inlineStr">
        <is>
          <t>Notas / driver</t>
        </is>
      </c>
      <c r="G5" s="121" t="n"/>
      <c r="H5" s="122" t="n"/>
    </row>
    <row r="6">
      <c r="A6" s="13" t="inlineStr">
        <is>
          <t>Ingresos totales</t>
        </is>
      </c>
      <c r="B6" s="163">
        <f>'02_Detalle_Ingresos'!B42</f>
        <v/>
      </c>
      <c r="C6" s="163">
        <f>'02_Detalle_Ingresos'!C42</f>
        <v/>
      </c>
      <c r="D6" s="163">
        <f>'02_Detalle_Ingresos'!D42</f>
        <v/>
      </c>
      <c r="E6" s="163">
        <f>'02_Detalle_Ingresos'!E42</f>
        <v/>
      </c>
      <c r="F6" s="14" t="inlineStr">
        <is>
          <t>Desde Detalle de ingresos</t>
        </is>
      </c>
      <c r="G6" s="121" t="n"/>
      <c r="H6" s="122" t="n"/>
    </row>
    <row r="7">
      <c r="A7" s="13" t="inlineStr">
        <is>
          <t>Contribucion digitalizacion fabricante</t>
        </is>
      </c>
      <c r="B7" s="163">
        <f>'02_Detalle_Ingresos'!B20*'01_Supuestos'!B51</f>
        <v/>
      </c>
      <c r="C7" s="163">
        <f>'02_Detalle_Ingresos'!C20*'01_Supuestos'!C51</f>
        <v/>
      </c>
      <c r="D7" s="163">
        <f>'02_Detalle_Ingresos'!D20*'01_Supuestos'!D51</f>
        <v/>
      </c>
      <c r="E7" s="163">
        <f>'02_Detalle_Ingresos'!E20*'01_Supuestos'!E51</f>
        <v/>
      </c>
      <c r="F7" s="14" t="inlineStr">
        <is>
          <t>Revenue x GM especifico</t>
        </is>
      </c>
      <c r="G7" s="121" t="n"/>
      <c r="H7" s="122" t="n"/>
    </row>
    <row r="8">
      <c r="A8" s="13" t="inlineStr">
        <is>
          <t>Contribucion digitalizacion montaje</t>
        </is>
      </c>
      <c r="B8" s="163">
        <f>'02_Detalle_Ingresos'!B21*'01_Supuestos'!B52</f>
        <v/>
      </c>
      <c r="C8" s="163">
        <f>'02_Detalle_Ingresos'!C21*'01_Supuestos'!C52</f>
        <v/>
      </c>
      <c r="D8" s="163">
        <f>'02_Detalle_Ingresos'!D21*'01_Supuestos'!D52</f>
        <v/>
      </c>
      <c r="E8" s="163">
        <f>'02_Detalle_Ingresos'!E21*'01_Supuestos'!E52</f>
        <v/>
      </c>
      <c r="F8" s="14" t="inlineStr">
        <is>
          <t>Revenue x GM especifico</t>
        </is>
      </c>
      <c r="G8" s="121" t="n"/>
      <c r="H8" s="122" t="n"/>
    </row>
    <row r="9">
      <c r="A9" s="13" t="inlineStr">
        <is>
          <t>Contribucion fee fabricante</t>
        </is>
      </c>
      <c r="B9" s="163">
        <f>'02_Detalle_Ingresos'!B22*'01_Supuestos'!B53</f>
        <v/>
      </c>
      <c r="C9" s="163">
        <f>'02_Detalle_Ingresos'!C22*'01_Supuestos'!C53</f>
        <v/>
      </c>
      <c r="D9" s="163">
        <f>'02_Detalle_Ingresos'!D22*'01_Supuestos'!D53</f>
        <v/>
      </c>
      <c r="E9" s="163">
        <f>'02_Detalle_Ingresos'!E22*'01_Supuestos'!E53</f>
        <v/>
      </c>
      <c r="F9" s="14" t="inlineStr">
        <is>
          <t>Revenue x GM especifico</t>
        </is>
      </c>
      <c r="G9" s="121" t="n"/>
      <c r="H9" s="122" t="n"/>
    </row>
    <row r="10">
      <c r="A10" s="13" t="inlineStr">
        <is>
          <t>Contribucion fee montaje</t>
        </is>
      </c>
      <c r="B10" s="163">
        <f>'02_Detalle_Ingresos'!B23*'01_Supuestos'!B54</f>
        <v/>
      </c>
      <c r="C10" s="163">
        <f>'02_Detalle_Ingresos'!C23*'01_Supuestos'!C54</f>
        <v/>
      </c>
      <c r="D10" s="163">
        <f>'02_Detalle_Ingresos'!D23*'01_Supuestos'!D54</f>
        <v/>
      </c>
      <c r="E10" s="163">
        <f>'02_Detalle_Ingresos'!E23*'01_Supuestos'!E54</f>
        <v/>
      </c>
      <c r="F10" s="14" t="inlineStr">
        <is>
          <t>Revenue x GM especifico</t>
        </is>
      </c>
      <c r="G10" s="121" t="n"/>
      <c r="H10" s="122" t="n"/>
    </row>
    <row r="11">
      <c r="A11" s="13" t="inlineStr">
        <is>
          <t>Contribucion resto Asset OS</t>
        </is>
      </c>
      <c r="B11" s="163">
        <f>('02_Detalle_Ingresos'!B31-SUM('02_Detalle_Ingresos'!B20:B23))*'01_Supuestos'!B46</f>
        <v/>
      </c>
      <c r="C11" s="163">
        <f>('02_Detalle_Ingresos'!C31-SUM('02_Detalle_Ingresos'!C20:C23))*'01_Supuestos'!C46</f>
        <v/>
      </c>
      <c r="D11" s="163">
        <f>('02_Detalle_Ingresos'!D31-SUM('02_Detalle_Ingresos'!D20:D23))*'01_Supuestos'!D46</f>
        <v/>
      </c>
      <c r="E11" s="163">
        <f>('02_Detalle_Ingresos'!E31-SUM('02_Detalle_Ingresos'!E20:E23))*'01_Supuestos'!E46</f>
        <v/>
      </c>
      <c r="F11" s="14" t="inlineStr">
        <is>
          <t>Subtotal Asset OS excl. lineas anteriores x margen Asset OS</t>
        </is>
      </c>
      <c r="G11" s="121" t="n"/>
      <c r="H11" s="122" t="n"/>
    </row>
    <row r="12">
      <c r="A12" s="13" t="inlineStr">
        <is>
          <t>Contribucion iPath</t>
        </is>
      </c>
      <c r="B12" s="163">
        <f>'02_Detalle_Ingresos'!B36*'01_Supuestos'!B47</f>
        <v/>
      </c>
      <c r="C12" s="163">
        <f>'02_Detalle_Ingresos'!C36*'01_Supuestos'!C47</f>
        <v/>
      </c>
      <c r="D12" s="163">
        <f>'02_Detalle_Ingresos'!D36*'01_Supuestos'!D47</f>
        <v/>
      </c>
      <c r="E12" s="163">
        <f>'02_Detalle_Ingresos'!E36*'01_Supuestos'!E47</f>
        <v/>
      </c>
      <c r="F12" s="14" t="inlineStr">
        <is>
          <t>Revenue x margen iPath</t>
        </is>
      </c>
      <c r="G12" s="121" t="n"/>
      <c r="H12" s="122" t="n"/>
    </row>
    <row r="13">
      <c r="A13" s="13" t="inlineStr">
        <is>
          <t>Contribucion Marketplace</t>
        </is>
      </c>
      <c r="B13" s="163">
        <f>'02_Detalle_Ingresos'!B40*'01_Supuestos'!B48</f>
        <v/>
      </c>
      <c r="C13" s="163">
        <f>'02_Detalle_Ingresos'!C40*'01_Supuestos'!C48</f>
        <v/>
      </c>
      <c r="D13" s="163">
        <f>'02_Detalle_Ingresos'!D40*'01_Supuestos'!D48</f>
        <v/>
      </c>
      <c r="E13" s="163">
        <f>'02_Detalle_Ingresos'!E40*'01_Supuestos'!E48</f>
        <v/>
      </c>
      <c r="F13" s="14" t="inlineStr">
        <is>
          <t>Revenue x margen Marketplace</t>
        </is>
      </c>
      <c r="G13" s="121" t="n"/>
      <c r="H13" s="122" t="n"/>
    </row>
    <row r="14">
      <c r="A14" s="13" t="inlineStr">
        <is>
          <t>Contribucion Moolde</t>
        </is>
      </c>
      <c r="B14" s="163">
        <f>'02_Detalle_Ingresos'!B37*'01_Supuestos'!B55</f>
        <v/>
      </c>
      <c r="C14" s="163">
        <f>'02_Detalle_Ingresos'!C37*'01_Supuestos'!C55</f>
        <v/>
      </c>
      <c r="D14" s="163">
        <f>'02_Detalle_Ingresos'!D37*'01_Supuestos'!D55</f>
        <v/>
      </c>
      <c r="E14" s="163">
        <f>'02_Detalle_Ingresos'!E37*'01_Supuestos'!E55</f>
        <v/>
      </c>
      <c r="F14" s="14" t="inlineStr">
        <is>
          <t>Revenue x margen Moolde</t>
        </is>
      </c>
      <c r="G14" s="121" t="n"/>
      <c r="H14" s="122" t="n"/>
    </row>
    <row r="15">
      <c r="A15" s="13" t="inlineStr">
        <is>
          <t>Contribucion Internacional</t>
        </is>
      </c>
      <c r="B15" s="163">
        <f>'02_Detalle_Ingresos'!B38*'01_Supuestos'!B49</f>
        <v/>
      </c>
      <c r="C15" s="163">
        <f>'02_Detalle_Ingresos'!C38*'01_Supuestos'!C49</f>
        <v/>
      </c>
      <c r="D15" s="163">
        <f>'02_Detalle_Ingresos'!D38*'01_Supuestos'!D49</f>
        <v/>
      </c>
      <c r="E15" s="163">
        <f>'02_Detalle_Ingresos'!E38*'01_Supuestos'!E49</f>
        <v/>
      </c>
      <c r="F15" s="14" t="inlineStr">
        <is>
          <t>Revenue x margen internacional</t>
        </is>
      </c>
      <c r="G15" s="121" t="n"/>
      <c r="H15" s="122" t="n"/>
    </row>
    <row r="16">
      <c r="A16" s="13" t="inlineStr">
        <is>
          <t>Contribucion Financial Layer</t>
        </is>
      </c>
      <c r="B16" s="163">
        <f>'02_Detalle_Ingresos'!B39*'01_Supuestos'!B50</f>
        <v/>
      </c>
      <c r="C16" s="163">
        <f>'02_Detalle_Ingresos'!C39*'01_Supuestos'!C50</f>
        <v/>
      </c>
      <c r="D16" s="163">
        <f>'02_Detalle_Ingresos'!D39*'01_Supuestos'!D50</f>
        <v/>
      </c>
      <c r="E16" s="163">
        <f>'02_Detalle_Ingresos'!E39*'01_Supuestos'!E50</f>
        <v/>
      </c>
      <c r="F16" s="14" t="inlineStr">
        <is>
          <t>Revenue x margen Financial Layer</t>
        </is>
      </c>
      <c r="G16" s="121" t="n"/>
      <c r="H16" s="122" t="n"/>
    </row>
    <row r="17">
      <c r="A17" s="161" t="inlineStr">
        <is>
          <t>Margen bruto / contribucion total</t>
        </is>
      </c>
      <c r="B17" s="154">
        <f>SUM(B7:B16)</f>
        <v/>
      </c>
      <c r="C17" s="154">
        <f>SUM(C7:C16)</f>
        <v/>
      </c>
      <c r="D17" s="154">
        <f>SUM(D7:D16)</f>
        <v/>
      </c>
      <c r="E17" s="154">
        <f>SUM(E7:E16)</f>
        <v/>
      </c>
      <c r="F17" s="154" t="inlineStr">
        <is>
          <t>SUM contribuciones</t>
        </is>
      </c>
      <c r="G17" s="121" t="n"/>
      <c r="H17" s="122" t="n"/>
    </row>
    <row r="18">
      <c r="A18" s="13" t="inlineStr">
        <is>
          <t>% margen bruto</t>
        </is>
      </c>
      <c r="B18" s="167">
        <f>IF(B6=0,0,B17/B6)</f>
        <v/>
      </c>
      <c r="C18" s="167">
        <f>IF(C6=0,0,C17/C6)</f>
        <v/>
      </c>
      <c r="D18" s="167">
        <f>IF(D6=0,0,D17/D6)</f>
        <v/>
      </c>
      <c r="E18" s="167">
        <f>IF(E6=0,0,E17/E6)</f>
        <v/>
      </c>
      <c r="F18" s="14" t="inlineStr">
        <is>
          <t>Contribucion / ingresos</t>
        </is>
      </c>
      <c r="G18" s="121" t="n"/>
      <c r="H18" s="122" t="n"/>
    </row>
    <row r="19">
      <c r="A19" s="13" t="inlineStr">
        <is>
          <t>OPEX personal</t>
        </is>
      </c>
      <c r="B19" s="163">
        <f>-'05_Detalle_OPEX'!B6</f>
        <v/>
      </c>
      <c r="C19" s="163">
        <f>-'05_Detalle_OPEX'!C6</f>
        <v/>
      </c>
      <c r="D19" s="163">
        <f>-'05_Detalle_OPEX'!D6</f>
        <v/>
      </c>
      <c r="E19" s="163">
        <f>-'05_Detalle_OPEX'!E6</f>
        <v/>
      </c>
      <c r="F19" s="14" t="inlineStr">
        <is>
          <t>Gasto operativo de plantilla</t>
        </is>
      </c>
      <c r="G19" s="121" t="n"/>
      <c r="H19" s="122" t="n"/>
    </row>
    <row r="20">
      <c r="A20" s="13" t="inlineStr">
        <is>
          <t>OPEX no-personal</t>
        </is>
      </c>
      <c r="B20" s="163">
        <f>-'05_Detalle_OPEX'!B13</f>
        <v/>
      </c>
      <c r="C20" s="163">
        <f>-'05_Detalle_OPEX'!C13</f>
        <v/>
      </c>
      <c r="D20" s="163">
        <f>-'05_Detalle_OPEX'!D13</f>
        <v/>
      </c>
      <c r="E20" s="163">
        <f>-'05_Detalle_OPEX'!E13</f>
        <v/>
      </c>
      <c r="F20" s="14" t="inlineStr">
        <is>
          <t>Gasto operativo no-personal</t>
        </is>
      </c>
      <c r="G20" s="121" t="n"/>
      <c r="H20" s="122" t="n"/>
    </row>
    <row r="21">
      <c r="A21" s="13" t="inlineStr">
        <is>
          <t>OPEX total</t>
        </is>
      </c>
      <c r="B21" s="163">
        <f>SUM(B19:B20)</f>
        <v/>
      </c>
      <c r="C21" s="163">
        <f>SUM(C19:C20)</f>
        <v/>
      </c>
      <c r="D21" s="163">
        <f>SUM(D19:D20)</f>
        <v/>
      </c>
      <c r="E21" s="163">
        <f>SUM(E19:E20)</f>
        <v/>
      </c>
      <c r="F21" s="14" t="inlineStr">
        <is>
          <t>Personal + no-personal</t>
        </is>
      </c>
      <c r="G21" s="121" t="n"/>
      <c r="H21" s="122" t="n"/>
    </row>
    <row r="22">
      <c r="A22" s="161" t="inlineStr">
        <is>
          <t>EBITDA</t>
        </is>
      </c>
      <c r="B22" s="154">
        <f>B17+B21</f>
        <v/>
      </c>
      <c r="C22" s="154">
        <f>C17+C21</f>
        <v/>
      </c>
      <c r="D22" s="154">
        <f>D17+D21</f>
        <v/>
      </c>
      <c r="E22" s="154">
        <f>E17+E21</f>
        <v/>
      </c>
      <c r="F22" s="154" t="inlineStr">
        <is>
          <t>Margen bruto + OPEX total</t>
        </is>
      </c>
      <c r="G22" s="121" t="n"/>
      <c r="H22" s="122" t="n"/>
    </row>
    <row r="23">
      <c r="A23" s="13" t="inlineStr">
        <is>
          <t>% margen EBITDA</t>
        </is>
      </c>
      <c r="B23" s="167">
        <f>IF(B6=0,0,B22/B6)</f>
        <v/>
      </c>
      <c r="C23" s="167">
        <f>IF(C6=0,0,C22/C6)</f>
        <v/>
      </c>
      <c r="D23" s="167">
        <f>IF(D6=0,0,D22/D6)</f>
        <v/>
      </c>
      <c r="E23" s="167">
        <f>IF(E6=0,0,E22/E6)</f>
        <v/>
      </c>
      <c r="F23" s="14" t="inlineStr">
        <is>
          <t>EBITDA / ingresos</t>
        </is>
      </c>
      <c r="G23" s="121" t="n"/>
      <c r="H23" s="122" t="n"/>
    </row>
    <row r="24">
      <c r="A24" s="13" t="inlineStr">
        <is>
          <t>Amortizacion / D&amp;A</t>
        </is>
      </c>
      <c r="B24" s="163">
        <f>-'01_Supuestos'!B60</f>
        <v/>
      </c>
      <c r="C24" s="163">
        <f>-'01_Supuestos'!C60</f>
        <v/>
      </c>
      <c r="D24" s="163">
        <f>-'01_Supuestos'!D60</f>
        <v/>
      </c>
      <c r="E24" s="163">
        <f>-'01_Supuestos'!E60</f>
        <v/>
      </c>
      <c r="F24" s="14" t="inlineStr">
        <is>
          <t>Depreciacion y amortizacion contable</t>
        </is>
      </c>
      <c r="G24" s="121" t="n"/>
      <c r="H24" s="122" t="n"/>
    </row>
    <row r="25">
      <c r="A25" s="13" t="inlineStr">
        <is>
          <t>EBIT</t>
        </is>
      </c>
      <c r="B25" s="163">
        <f>B22+B24</f>
        <v/>
      </c>
      <c r="C25" s="163">
        <f>C22+C24</f>
        <v/>
      </c>
      <c r="D25" s="163">
        <f>D22+D24</f>
        <v/>
      </c>
      <c r="E25" s="163">
        <f>E22+E24</f>
        <v/>
      </c>
      <c r="F25" s="14" t="inlineStr">
        <is>
          <t>EBITDA + D&amp;A</t>
        </is>
      </c>
      <c r="G25" s="121" t="n"/>
      <c r="H25" s="122" t="n"/>
    </row>
    <row r="26">
      <c r="A26" s="13" t="inlineStr">
        <is>
          <t>Resultado financiero</t>
        </is>
      </c>
      <c r="B26" s="163">
        <f>-'01_Supuestos'!B61</f>
        <v/>
      </c>
      <c r="C26" s="163">
        <f>-'01_Supuestos'!C61</f>
        <v/>
      </c>
      <c r="D26" s="163">
        <f>-'01_Supuestos'!D61</f>
        <v/>
      </c>
      <c r="E26" s="163">
        <f>-'01_Supuestos'!E61</f>
        <v/>
      </c>
      <c r="F26" s="14" t="inlineStr">
        <is>
          <t>Gasto financiero estimado</t>
        </is>
      </c>
      <c r="G26" s="121" t="n"/>
      <c r="H26" s="122" t="n"/>
    </row>
    <row r="27">
      <c r="A27" s="13" t="inlineStr">
        <is>
          <t>Resultado antes de impuestos</t>
        </is>
      </c>
      <c r="B27" s="163">
        <f>B25+B26</f>
        <v/>
      </c>
      <c r="C27" s="163">
        <f>C25+C26</f>
        <v/>
      </c>
      <c r="D27" s="163">
        <f>D25+D26</f>
        <v/>
      </c>
      <c r="E27" s="163">
        <f>E25+E26</f>
        <v/>
      </c>
      <c r="F27" s="14" t="inlineStr">
        <is>
          <t>EBIT + resultado financiero</t>
        </is>
      </c>
      <c r="G27" s="121" t="n"/>
      <c r="H27" s="122" t="n"/>
    </row>
    <row r="28">
      <c r="A28" s="13" t="inlineStr">
        <is>
          <t>Impuesto sobre sociedades</t>
        </is>
      </c>
      <c r="B28" s="163">
        <f>-MAX(0,B27*'01_Supuestos'!B58)</f>
        <v/>
      </c>
      <c r="C28" s="163">
        <f>-MAX(0,C27*'01_Supuestos'!C58)</f>
        <v/>
      </c>
      <c r="D28" s="163">
        <f>-MAX(0,D27*'01_Supuestos'!D58)</f>
        <v/>
      </c>
      <c r="E28" s="163">
        <f>-MAX(0,E27*'01_Supuestos'!E58)</f>
        <v/>
      </c>
      <c r="F28" s="14" t="inlineStr">
        <is>
          <t>Sobre EBT positivo</t>
        </is>
      </c>
      <c r="G28" s="121" t="n"/>
      <c r="H28" s="122" t="n"/>
    </row>
    <row r="29">
      <c r="A29" s="161" t="inlineStr">
        <is>
          <t>Resultado neto</t>
        </is>
      </c>
      <c r="B29" s="154">
        <f>B27+B28</f>
        <v/>
      </c>
      <c r="C29" s="154">
        <f>C27+C28</f>
        <v/>
      </c>
      <c r="D29" s="154">
        <f>D27+D28</f>
        <v/>
      </c>
      <c r="E29" s="154">
        <f>E27+E28</f>
        <v/>
      </c>
      <c r="F29" s="154" t="inlineStr">
        <is>
          <t>EBT + impuestos</t>
        </is>
      </c>
      <c r="G29" s="121" t="n"/>
      <c r="H29" s="122" t="n"/>
    </row>
    <row r="30">
      <c r="A30" s="13" t="inlineStr">
        <is>
          <t>% margen neto</t>
        </is>
      </c>
      <c r="B30" s="167">
        <f>IF(B6=0,0,B29/B6)</f>
        <v/>
      </c>
      <c r="C30" s="167">
        <f>IF(C6=0,0,C29/C6)</f>
        <v/>
      </c>
      <c r="D30" s="167">
        <f>IF(D6=0,0,D29/D6)</f>
        <v/>
      </c>
      <c r="E30" s="167">
        <f>IF(E6=0,0,E29/E6)</f>
        <v/>
      </c>
      <c r="F30" s="14" t="inlineStr">
        <is>
          <t>Resultado neto / ingresos</t>
        </is>
      </c>
      <c r="G30" s="121" t="n"/>
      <c r="H30" s="122" t="n"/>
    </row>
    <row r="31">
      <c r="A31" s="13" t="n"/>
      <c r="B31" s="14" t="n"/>
      <c r="C31" s="14" t="n"/>
      <c r="D31" s="14" t="n"/>
      <c r="E31" s="14" t="n"/>
      <c r="F31" s="14" t="n"/>
      <c r="G31" s="121" t="n"/>
      <c r="H31" s="122" t="n"/>
    </row>
    <row r="32">
      <c r="A32" s="13" t="n"/>
      <c r="B32" s="14" t="n"/>
      <c r="C32" s="14" t="n"/>
      <c r="D32" s="14" t="n"/>
      <c r="E32" s="14" t="n"/>
      <c r="F32" s="14" t="n"/>
      <c r="G32" s="121" t="n"/>
      <c r="H32" s="122" t="n"/>
    </row>
    <row r="33">
      <c r="A33" s="13" t="n"/>
      <c r="B33" s="14" t="n"/>
      <c r="C33" s="14" t="n"/>
      <c r="D33" s="14" t="n"/>
      <c r="E33" s="14" t="n"/>
      <c r="F33" s="14" t="n"/>
      <c r="G33" s="121" t="n"/>
      <c r="H33" s="122" t="n"/>
    </row>
    <row r="34">
      <c r="A34" s="13" t="n"/>
      <c r="B34" s="14" t="n"/>
      <c r="C34" s="14" t="n"/>
      <c r="D34" s="14" t="n"/>
      <c r="E34" s="14" t="n"/>
      <c r="F34" s="14" t="n"/>
      <c r="G34" s="121" t="n"/>
      <c r="H34" s="122" t="n"/>
    </row>
    <row r="35">
      <c r="A35" s="13" t="n"/>
      <c r="B35" s="14" t="n"/>
      <c r="C35" s="14" t="n"/>
      <c r="D35" s="14" t="n"/>
      <c r="E35" s="14" t="n"/>
      <c r="F35" s="14" t="n"/>
      <c r="G35" s="121" t="n"/>
      <c r="H35" s="122" t="n"/>
    </row>
    <row r="36">
      <c r="A36" s="13" t="n"/>
      <c r="B36" s="14" t="n"/>
      <c r="C36" s="14" t="n"/>
      <c r="D36" s="14" t="n"/>
      <c r="E36" s="14" t="n"/>
      <c r="F36" s="14" t="n"/>
      <c r="G36" s="121" t="n"/>
      <c r="H36" s="122" t="n"/>
    </row>
    <row r="37">
      <c r="A37" s="13" t="n"/>
      <c r="B37" s="14" t="n"/>
      <c r="C37" s="14" t="n"/>
      <c r="D37" s="14" t="n"/>
      <c r="E37" s="14" t="n"/>
      <c r="F37" s="14" t="n"/>
      <c r="G37" s="121" t="n"/>
      <c r="H37" s="122" t="n"/>
    </row>
    <row r="38">
      <c r="A38" s="13" t="n"/>
      <c r="B38" s="14" t="n"/>
      <c r="C38" s="14" t="n"/>
      <c r="D38" s="14" t="n"/>
      <c r="E38" s="14" t="n"/>
      <c r="F38" s="14" t="n"/>
      <c r="G38" s="121" t="n"/>
      <c r="H38" s="122" t="n"/>
    </row>
    <row r="39">
      <c r="A39" s="13" t="n"/>
      <c r="B39" s="14" t="n"/>
      <c r="C39" s="14" t="n"/>
      <c r="D39" s="14" t="n"/>
      <c r="E39" s="14" t="n"/>
      <c r="F39" s="14" t="n"/>
      <c r="G39" s="121" t="n"/>
      <c r="H39" s="122" t="n"/>
    </row>
    <row r="40">
      <c r="A40" s="13" t="n"/>
      <c r="B40" s="14" t="n"/>
      <c r="C40" s="14" t="n"/>
      <c r="D40" s="14" t="n"/>
      <c r="E40" s="14" t="n"/>
      <c r="F40" s="14" t="n"/>
      <c r="G40" s="121" t="n"/>
      <c r="H40" s="122" t="n"/>
    </row>
    <row r="41">
      <c r="A41" s="13" t="n"/>
      <c r="B41" s="14" t="n"/>
      <c r="C41" s="14" t="n"/>
      <c r="D41" s="14" t="n"/>
      <c r="E41" s="14" t="n"/>
      <c r="F41" s="14" t="n"/>
      <c r="G41" s="121" t="n"/>
      <c r="H41" s="122" t="n"/>
    </row>
    <row r="42">
      <c r="A42" s="13" t="n"/>
      <c r="B42" s="14" t="n"/>
      <c r="C42" s="14" t="n"/>
      <c r="D42" s="14" t="n"/>
      <c r="E42" s="14" t="n"/>
      <c r="F42" s="14" t="n"/>
      <c r="G42" s="121" t="n"/>
      <c r="H42" s="122" t="n"/>
    </row>
    <row r="43">
      <c r="A43" s="13" t="n"/>
      <c r="B43" s="14" t="n"/>
      <c r="C43" s="14" t="n"/>
      <c r="D43" s="14" t="n"/>
      <c r="E43" s="14" t="n"/>
      <c r="F43" s="14" t="n"/>
      <c r="G43" s="121" t="n"/>
      <c r="H43" s="122" t="n"/>
    </row>
    <row r="44">
      <c r="A44" s="13" t="n"/>
      <c r="B44" s="14" t="n"/>
      <c r="C44" s="14" t="n"/>
      <c r="D44" s="14" t="n"/>
      <c r="E44" s="14" t="n"/>
      <c r="F44" s="14" t="n"/>
      <c r="G44" s="121" t="n"/>
      <c r="H44" s="122" t="n"/>
    </row>
    <row r="45">
      <c r="A45" s="13" t="n"/>
      <c r="B45" s="14" t="n"/>
      <c r="C45" s="14" t="n"/>
      <c r="D45" s="14" t="n"/>
      <c r="E45" s="14" t="n"/>
      <c r="F45" s="14" t="n"/>
      <c r="G45" s="121" t="n"/>
      <c r="H45" s="122" t="n"/>
    </row>
    <row r="46">
      <c r="A46" s="13" t="n"/>
      <c r="B46" s="14" t="n"/>
      <c r="C46" s="14" t="n"/>
      <c r="D46" s="14" t="n"/>
      <c r="E46" s="14" t="n"/>
      <c r="F46" s="14" t="n"/>
      <c r="G46" s="121" t="n"/>
      <c r="H46" s="122" t="n"/>
    </row>
    <row r="47">
      <c r="A47" s="13" t="n"/>
      <c r="B47" s="14" t="n"/>
      <c r="C47" s="14" t="n"/>
      <c r="D47" s="14" t="n"/>
      <c r="E47" s="14" t="n"/>
      <c r="F47" s="14" t="n"/>
      <c r="G47" s="121" t="n"/>
      <c r="H47" s="122" t="n"/>
    </row>
    <row r="48">
      <c r="A48" s="13" t="n"/>
      <c r="B48" s="14" t="n"/>
      <c r="C48" s="14" t="n"/>
      <c r="D48" s="14" t="n"/>
      <c r="E48" s="14" t="n"/>
      <c r="F48" s="14" t="n"/>
      <c r="G48" s="121" t="n"/>
      <c r="H48" s="122" t="n"/>
    </row>
    <row r="49">
      <c r="A49" s="13" t="n"/>
      <c r="B49" s="14" t="n"/>
      <c r="C49" s="14" t="n"/>
      <c r="D49" s="14" t="n"/>
      <c r="E49" s="14" t="n"/>
      <c r="F49" s="14" t="n"/>
      <c r="G49" s="121" t="n"/>
      <c r="H49" s="122" t="n"/>
    </row>
    <row r="50">
      <c r="A50" s="13" t="n"/>
      <c r="B50" s="14" t="n"/>
      <c r="C50" s="14" t="n"/>
      <c r="D50" s="14" t="n"/>
      <c r="E50" s="14" t="n"/>
      <c r="F50" s="14" t="n"/>
      <c r="G50" s="121" t="n"/>
      <c r="H50" s="122" t="n"/>
    </row>
    <row r="51">
      <c r="A51" s="13" t="n"/>
      <c r="B51" s="14" t="n"/>
      <c r="C51" s="14" t="n"/>
      <c r="D51" s="14" t="n"/>
      <c r="E51" s="14" t="n"/>
      <c r="F51" s="14" t="n"/>
      <c r="G51" s="121" t="n"/>
      <c r="H51" s="122" t="n"/>
    </row>
    <row r="52">
      <c r="A52" s="13" t="n"/>
      <c r="B52" s="14" t="n"/>
      <c r="C52" s="14" t="n"/>
      <c r="D52" s="14" t="n"/>
      <c r="E52" s="14" t="n"/>
      <c r="F52" s="14" t="n"/>
      <c r="G52" s="121" t="n"/>
      <c r="H52" s="122" t="n"/>
    </row>
    <row r="53">
      <c r="A53" s="13" t="n"/>
      <c r="B53" s="14" t="n"/>
      <c r="C53" s="14" t="n"/>
      <c r="D53" s="14" t="n"/>
      <c r="E53" s="14" t="n"/>
      <c r="F53" s="14" t="n"/>
      <c r="G53" s="121" t="n"/>
      <c r="H53" s="122" t="n"/>
    </row>
    <row r="54">
      <c r="A54" s="13" t="n"/>
      <c r="B54" s="14" t="n"/>
      <c r="C54" s="14" t="n"/>
      <c r="D54" s="14" t="n"/>
      <c r="E54" s="14" t="n"/>
      <c r="F54" s="14" t="n"/>
      <c r="G54" s="121" t="n"/>
      <c r="H54" s="122" t="n"/>
    </row>
    <row r="55">
      <c r="A55" s="13" t="n"/>
      <c r="B55" s="14" t="n"/>
      <c r="C55" s="14" t="n"/>
      <c r="D55" s="14" t="n"/>
      <c r="E55" s="14" t="n"/>
      <c r="F55" s="14" t="n"/>
      <c r="G55" s="121" t="n"/>
      <c r="H55" s="122" t="n"/>
    </row>
    <row r="56">
      <c r="A56" s="13" t="n"/>
      <c r="B56" s="14" t="n"/>
      <c r="C56" s="14" t="n"/>
      <c r="D56" s="14" t="n"/>
      <c r="E56" s="14" t="n"/>
      <c r="F56" s="14" t="n"/>
      <c r="G56" s="121" t="n"/>
      <c r="H56" s="122" t="n"/>
    </row>
    <row r="57">
      <c r="A57" s="13" t="n"/>
      <c r="B57" s="14" t="n"/>
      <c r="C57" s="14" t="n"/>
      <c r="D57" s="14" t="n"/>
      <c r="E57" s="14" t="n"/>
      <c r="F57" s="14" t="n"/>
      <c r="G57" s="121" t="n"/>
      <c r="H57" s="122" t="n"/>
    </row>
    <row r="58">
      <c r="A58" s="13" t="n"/>
      <c r="B58" s="14" t="n"/>
      <c r="C58" s="14" t="n"/>
      <c r="D58" s="14" t="n"/>
      <c r="E58" s="14" t="n"/>
      <c r="F58" s="14" t="n"/>
      <c r="G58" s="121" t="n"/>
      <c r="H58" s="122" t="n"/>
    </row>
    <row r="59">
      <c r="A59" s="13" t="n"/>
      <c r="B59" s="14" t="n"/>
      <c r="C59" s="14" t="n"/>
      <c r="D59" s="14" t="n"/>
      <c r="E59" s="14" t="n"/>
      <c r="F59" s="14" t="n"/>
      <c r="G59" s="121" t="n"/>
      <c r="H59" s="122" t="n"/>
    </row>
    <row r="60">
      <c r="A60" s="13" t="n"/>
      <c r="B60" s="14" t="n"/>
      <c r="C60" s="14" t="n"/>
      <c r="D60" s="14" t="n"/>
      <c r="E60" s="14" t="n"/>
      <c r="F60" s="14" t="n"/>
      <c r="G60" s="121" t="n"/>
      <c r="H60" s="122" t="n"/>
    </row>
    <row r="61">
      <c r="A61" s="13" t="n"/>
      <c r="B61" s="14" t="n"/>
      <c r="C61" s="14" t="n"/>
      <c r="D61" s="14" t="n"/>
      <c r="E61" s="14" t="n"/>
      <c r="F61" s="14" t="n"/>
      <c r="G61" s="121" t="n"/>
      <c r="H61" s="122" t="n"/>
    </row>
    <row r="62">
      <c r="A62" s="13" t="n"/>
      <c r="B62" s="14" t="n"/>
      <c r="C62" s="14" t="n"/>
      <c r="D62" s="14" t="n"/>
      <c r="E62" s="14" t="n"/>
      <c r="F62" s="14" t="n"/>
      <c r="G62" s="121" t="n"/>
      <c r="H62" s="122" t="n"/>
    </row>
    <row r="63">
      <c r="A63" s="13" t="n"/>
      <c r="B63" s="14" t="n"/>
      <c r="C63" s="14" t="n"/>
      <c r="D63" s="14" t="n"/>
      <c r="E63" s="14" t="n"/>
      <c r="F63" s="14" t="n"/>
      <c r="G63" s="121" t="n"/>
      <c r="H63" s="122" t="n"/>
    </row>
    <row r="64">
      <c r="A64" s="13" t="n"/>
      <c r="B64" s="14" t="n"/>
      <c r="C64" s="14" t="n"/>
      <c r="D64" s="14" t="n"/>
      <c r="E64" s="14" t="n"/>
      <c r="F64" s="14" t="n"/>
      <c r="G64" s="121" t="n"/>
      <c r="H64" s="122" t="n"/>
    </row>
    <row r="65">
      <c r="A65" s="13" t="n"/>
      <c r="B65" s="14" t="n"/>
      <c r="C65" s="14" t="n"/>
      <c r="D65" s="14" t="n"/>
      <c r="E65" s="14" t="n"/>
      <c r="F65" s="14" t="n"/>
      <c r="G65" s="121" t="n"/>
      <c r="H65" s="122" t="n"/>
    </row>
    <row r="66">
      <c r="A66" s="13" t="n"/>
      <c r="B66" s="14" t="n"/>
      <c r="C66" s="14" t="n"/>
      <c r="D66" s="14" t="n"/>
      <c r="E66" s="14" t="n"/>
      <c r="F66" s="14" t="n"/>
      <c r="G66" s="121" t="n"/>
      <c r="H66" s="122" t="n"/>
    </row>
    <row r="67">
      <c r="A67" s="13" t="n"/>
      <c r="B67" s="14" t="n"/>
      <c r="C67" s="14" t="n"/>
      <c r="D67" s="14" t="n"/>
      <c r="E67" s="14" t="n"/>
      <c r="F67" s="14" t="n"/>
      <c r="G67" s="121" t="n"/>
      <c r="H67" s="122" t="n"/>
    </row>
    <row r="68">
      <c r="A68" s="13" t="n"/>
      <c r="B68" s="14" t="n"/>
      <c r="C68" s="14" t="n"/>
      <c r="D68" s="14" t="n"/>
      <c r="E68" s="14" t="n"/>
      <c r="F68" s="14" t="n"/>
      <c r="G68" s="121" t="n"/>
      <c r="H68" s="122" t="n"/>
    </row>
    <row r="69">
      <c r="A69" s="13" t="n"/>
      <c r="B69" s="14" t="n"/>
      <c r="C69" s="14" t="n"/>
      <c r="D69" s="14" t="n"/>
      <c r="E69" s="14" t="n"/>
      <c r="F69" s="14" t="n"/>
      <c r="G69" s="121" t="n"/>
      <c r="H69" s="122" t="n"/>
    </row>
    <row r="70">
      <c r="A70" s="13" t="n"/>
      <c r="B70" s="14" t="n"/>
      <c r="C70" s="14" t="n"/>
      <c r="D70" s="14" t="n"/>
      <c r="E70" s="14" t="n"/>
      <c r="F70" s="14" t="n"/>
      <c r="G70" s="121" t="n"/>
      <c r="H70" s="122" t="n"/>
    </row>
    <row r="71">
      <c r="A71" s="13" t="n"/>
      <c r="B71" s="14" t="n"/>
      <c r="C71" s="14" t="n"/>
      <c r="D71" s="14" t="n"/>
      <c r="E71" s="14" t="n"/>
      <c r="F71" s="14" t="n"/>
      <c r="G71" s="121" t="n"/>
      <c r="H71" s="122" t="n"/>
    </row>
    <row r="72">
      <c r="A72" s="13" t="n"/>
      <c r="B72" s="14" t="n"/>
      <c r="C72" s="14" t="n"/>
      <c r="D72" s="14" t="n"/>
      <c r="E72" s="14" t="n"/>
      <c r="F72" s="14" t="n"/>
      <c r="G72" s="121" t="n"/>
      <c r="H72" s="122" t="n"/>
    </row>
    <row r="73">
      <c r="A73" s="13" t="n"/>
      <c r="B73" s="14" t="n"/>
      <c r="C73" s="14" t="n"/>
      <c r="D73" s="14" t="n"/>
      <c r="E73" s="14" t="n"/>
      <c r="F73" s="14" t="n"/>
      <c r="G73" s="121" t="n"/>
      <c r="H73" s="122" t="n"/>
    </row>
    <row r="74">
      <c r="A74" s="13" t="n"/>
      <c r="B74" s="14" t="n"/>
      <c r="C74" s="14" t="n"/>
      <c r="D74" s="14" t="n"/>
      <c r="E74" s="14" t="n"/>
      <c r="F74" s="14" t="n"/>
      <c r="G74" s="121" t="n"/>
      <c r="H74" s="122" t="n"/>
    </row>
    <row r="75">
      <c r="A75" s="13" t="n"/>
      <c r="B75" s="14" t="n"/>
      <c r="C75" s="14" t="n"/>
      <c r="D75" s="14" t="n"/>
      <c r="E75" s="14" t="n"/>
      <c r="F75" s="14" t="n"/>
      <c r="G75" s="121" t="n"/>
      <c r="H75" s="122" t="n"/>
    </row>
    <row r="76">
      <c r="A76" s="13" t="n"/>
      <c r="B76" s="14" t="n"/>
      <c r="C76" s="14" t="n"/>
      <c r="D76" s="14" t="n"/>
      <c r="E76" s="14" t="n"/>
      <c r="F76" s="14" t="n"/>
      <c r="G76" s="121" t="n"/>
      <c r="H76" s="122" t="n"/>
    </row>
    <row r="77">
      <c r="A77" s="13" t="n"/>
      <c r="B77" s="14" t="n"/>
      <c r="C77" s="14" t="n"/>
      <c r="D77" s="14" t="n"/>
      <c r="E77" s="14" t="n"/>
      <c r="F77" s="14" t="n"/>
      <c r="G77" s="121" t="n"/>
      <c r="H77" s="122" t="n"/>
    </row>
    <row r="78">
      <c r="A78" s="13" t="n"/>
      <c r="B78" s="14" t="n"/>
      <c r="C78" s="14" t="n"/>
      <c r="D78" s="14" t="n"/>
      <c r="E78" s="14" t="n"/>
      <c r="F78" s="14" t="n"/>
      <c r="G78" s="121" t="n"/>
      <c r="H78" s="122" t="n"/>
    </row>
    <row r="79">
      <c r="A79" s="13" t="n"/>
      <c r="B79" s="14" t="n"/>
      <c r="C79" s="14" t="n"/>
      <c r="D79" s="14" t="n"/>
      <c r="E79" s="14" t="n"/>
      <c r="F79" s="14" t="n"/>
      <c r="G79" s="121" t="n"/>
      <c r="H79" s="122" t="n"/>
    </row>
    <row r="80">
      <c r="A80" s="16" t="n"/>
      <c r="B80" s="17" t="n"/>
      <c r="C80" s="17" t="n"/>
      <c r="D80" s="17" t="n"/>
      <c r="E80" s="17" t="n"/>
      <c r="F80" s="17" t="n"/>
      <c r="G80" s="127" t="n"/>
      <c r="H80" s="12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  <col width="38" customWidth="1" min="7" max="7"/>
    <col width="38" customWidth="1" min="8" max="8"/>
  </cols>
  <sheetData>
    <row r="1">
      <c r="A1" s="107" t="inlineStr">
        <is>
          <t>07 Caja, CAPEX y working capital</t>
        </is>
      </c>
      <c r="B1" s="108" t="str"/>
      <c r="C1" s="108" t="str"/>
      <c r="D1" s="108" t="str"/>
      <c r="E1" s="108" t="str"/>
      <c r="F1" s="109" t="str"/>
      <c r="G1" s="119" t="n"/>
      <c r="H1" s="120" t="n"/>
    </row>
    <row r="2">
      <c r="A2" s="111" t="inlineStr">
        <is>
          <t>FCF antes de financiacion y caja final. EUR M.</t>
        </is>
      </c>
      <c r="B2" s="112" t="str"/>
      <c r="C2" s="112" t="str"/>
      <c r="D2" s="112" t="str"/>
      <c r="E2" s="112" t="str"/>
      <c r="F2" s="112" t="str"/>
      <c r="G2" s="121" t="n"/>
      <c r="H2" s="122" t="n"/>
    </row>
    <row r="3">
      <c r="A3" s="13" t="str"/>
      <c r="B3" s="14" t="str"/>
      <c r="C3" s="14" t="str"/>
      <c r="D3" s="14" t="str"/>
      <c r="E3" s="14" t="str"/>
      <c r="F3" s="14" t="str"/>
      <c r="G3" s="121" t="n"/>
      <c r="H3" s="122" t="n"/>
    </row>
    <row r="4">
      <c r="A4" s="13" t="n"/>
      <c r="B4" s="14" t="n"/>
      <c r="C4" s="14" t="n"/>
      <c r="D4" s="14" t="n"/>
      <c r="E4" s="14" t="n"/>
      <c r="F4" s="14" t="n"/>
      <c r="G4" s="121" t="n"/>
      <c r="H4" s="122" t="n"/>
    </row>
    <row r="5">
      <c r="A5" s="114" t="inlineStr">
        <is>
          <t>Concepto</t>
        </is>
      </c>
      <c r="B5" s="159" t="inlineStr">
        <is>
          <t>2026/27</t>
        </is>
      </c>
      <c r="C5" s="159" t="inlineStr">
        <is>
          <t>2028</t>
        </is>
      </c>
      <c r="D5" s="159" t="inlineStr">
        <is>
          <t>2029</t>
        </is>
      </c>
      <c r="E5" s="159" t="inlineStr">
        <is>
          <t>2030</t>
        </is>
      </c>
      <c r="F5" s="115" t="inlineStr">
        <is>
          <t>Notas / driver</t>
        </is>
      </c>
      <c r="G5" s="121" t="n"/>
      <c r="H5" s="122" t="n"/>
    </row>
    <row r="6">
      <c r="A6" s="13" t="inlineStr">
        <is>
          <t>EBITDA</t>
        </is>
      </c>
      <c r="B6" s="163">
        <f>'06_Cuenta_Resultados'!B22</f>
        <v/>
      </c>
      <c r="C6" s="163">
        <f>'06_Cuenta_Resultados'!C22</f>
        <v/>
      </c>
      <c r="D6" s="163">
        <f>'06_Cuenta_Resultados'!D22</f>
        <v/>
      </c>
      <c r="E6" s="163">
        <f>'06_Cuenta_Resultados'!E22</f>
        <v/>
      </c>
      <c r="F6" s="14" t="inlineStr">
        <is>
          <t>Desde cuenta de resultados</t>
        </is>
      </c>
      <c r="G6" s="121" t="n"/>
      <c r="H6" s="122" t="n"/>
    </row>
    <row r="7">
      <c r="A7" s="13" t="inlineStr">
        <is>
          <t>Ingresos</t>
        </is>
      </c>
      <c r="B7" s="163">
        <f>'02_Detalle_Ingresos'!B42</f>
        <v/>
      </c>
      <c r="C7" s="163">
        <f>'02_Detalle_Ingresos'!C42</f>
        <v/>
      </c>
      <c r="D7" s="163">
        <f>'02_Detalle_Ingresos'!D42</f>
        <v/>
      </c>
      <c r="E7" s="163">
        <f>'02_Detalle_Ingresos'!E42</f>
        <v/>
      </c>
      <c r="F7" s="14" t="inlineStr">
        <is>
          <t>Desde Detalle de ingresos</t>
        </is>
      </c>
      <c r="G7" s="121" t="n"/>
      <c r="H7" s="122" t="n"/>
    </row>
    <row r="8">
      <c r="A8" s="13" t="inlineStr">
        <is>
          <t>Crecimiento ingresos</t>
        </is>
      </c>
      <c r="B8" s="163">
        <f>B7</f>
        <v/>
      </c>
      <c r="C8" s="163">
        <f>C7-B7</f>
        <v/>
      </c>
      <c r="D8" s="163">
        <f>D7-C7</f>
        <v/>
      </c>
      <c r="E8" s="163">
        <f>E7-D7</f>
        <v/>
      </c>
      <c r="F8" s="14" t="inlineStr">
        <is>
          <t>Primer periodo usa ingresos del periodo; siguientes son variacion vs periodo anterior.</t>
        </is>
      </c>
      <c r="G8" s="121" t="n"/>
      <c r="H8" s="122" t="n"/>
    </row>
    <row r="9">
      <c r="A9" s="13" t="inlineStr">
        <is>
          <t>Working capital incremental</t>
        </is>
      </c>
      <c r="B9" s="163">
        <f>-MAX(0,B8)*'01_Supuestos'!B56</f>
        <v/>
      </c>
      <c r="C9" s="163">
        <f>-MAX(0,C8)*'01_Supuestos'!C56</f>
        <v/>
      </c>
      <c r="D9" s="163">
        <f>-MAX(0,D8)*'01_Supuestos'!D56</f>
        <v/>
      </c>
      <c r="E9" s="163">
        <f>-MAX(0,E8)*'01_Supuestos'!E56</f>
        <v/>
      </c>
      <c r="F9" s="14" t="inlineStr">
        <is>
          <t>Crecimiento positivo x WC %</t>
        </is>
      </c>
      <c r="G9" s="121" t="n"/>
      <c r="H9" s="122" t="n"/>
    </row>
    <row r="10">
      <c r="A10" s="13" t="inlineStr">
        <is>
          <t>Capex</t>
        </is>
      </c>
      <c r="B10" s="163">
        <f>-'01_Supuestos'!B57</f>
        <v/>
      </c>
      <c r="C10" s="163">
        <f>-'01_Supuestos'!C57</f>
        <v/>
      </c>
      <c r="D10" s="163">
        <f>-'01_Supuestos'!D57</f>
        <v/>
      </c>
      <c r="E10" s="163">
        <f>-'01_Supuestos'!E57</f>
        <v/>
      </c>
      <c r="F10" s="14" t="inlineStr">
        <is>
          <t>Desde supuestos</t>
        </is>
      </c>
      <c r="G10" s="121" t="n"/>
      <c r="H10" s="122" t="n"/>
    </row>
    <row r="11">
      <c r="A11" s="13" t="inlineStr">
        <is>
          <t>Impuestos pagados</t>
        </is>
      </c>
      <c r="B11" s="163">
        <f>'06_Cuenta_Resultados'!B28</f>
        <v/>
      </c>
      <c r="C11" s="163">
        <f>'06_Cuenta_Resultados'!C28</f>
        <v/>
      </c>
      <c r="D11" s="163">
        <f>'06_Cuenta_Resultados'!D28</f>
        <v/>
      </c>
      <c r="E11" s="163">
        <f>'06_Cuenta_Resultados'!E28</f>
        <v/>
      </c>
      <c r="F11" s="14" t="inlineStr">
        <is>
          <t>Desde cuenta de resultados</t>
        </is>
      </c>
      <c r="G11" s="121" t="n"/>
      <c r="H11" s="122" t="n"/>
    </row>
    <row r="12">
      <c r="A12" s="161" t="inlineStr">
        <is>
          <t>FCF antes financiacion</t>
        </is>
      </c>
      <c r="B12" s="154">
        <f>SUM(B6,B9:B11)</f>
        <v/>
      </c>
      <c r="C12" s="154">
        <f>SUM(C6,C9:C11)</f>
        <v/>
      </c>
      <c r="D12" s="154">
        <f>SUM(D6,D9:D11)</f>
        <v/>
      </c>
      <c r="E12" s="154">
        <f>SUM(E6,E9:E11)</f>
        <v/>
      </c>
      <c r="F12" s="154" t="inlineStr">
        <is>
          <t>EBITDA - WC - capex - impuestos</t>
        </is>
      </c>
      <c r="G12" s="121" t="n"/>
      <c r="H12" s="122" t="n"/>
    </row>
    <row r="13">
      <c r="A13" s="13" t="inlineStr">
        <is>
          <t>Financiacion</t>
        </is>
      </c>
      <c r="B13" s="163">
        <f>'01_Supuestos'!B59</f>
        <v/>
      </c>
      <c r="C13" s="163">
        <f>'01_Supuestos'!C59</f>
        <v/>
      </c>
      <c r="D13" s="163">
        <f>'01_Supuestos'!D59</f>
        <v/>
      </c>
      <c r="E13" s="163">
        <f>'01_Supuestos'!E59</f>
        <v/>
      </c>
      <c r="F13" s="14" t="inlineStr">
        <is>
          <t>Separada de EBITDA/FCF operativo</t>
        </is>
      </c>
      <c r="G13" s="121" t="n"/>
      <c r="H13" s="122" t="n"/>
    </row>
    <row r="14">
      <c r="A14" s="13" t="inlineStr">
        <is>
          <t>Flujo neto caja</t>
        </is>
      </c>
      <c r="B14" s="163">
        <f>B12+B13</f>
        <v/>
      </c>
      <c r="C14" s="163">
        <f>C12+C13</f>
        <v/>
      </c>
      <c r="D14" s="163">
        <f>D12+D13</f>
        <v/>
      </c>
      <c r="E14" s="163">
        <f>E12+E13</f>
        <v/>
      </c>
      <c r="F14" s="14" t="inlineStr">
        <is>
          <t>FCF + financiacion</t>
        </is>
      </c>
      <c r="G14" s="121" t="n"/>
      <c r="H14" s="122" t="n"/>
    </row>
    <row r="15">
      <c r="A15" s="161" t="inlineStr">
        <is>
          <t>Caja final</t>
        </is>
      </c>
      <c r="B15" s="154">
        <f>B14</f>
        <v/>
      </c>
      <c r="C15" s="154">
        <f>B15+C14</f>
        <v/>
      </c>
      <c r="D15" s="154">
        <f>C15+D14</f>
        <v/>
      </c>
      <c r="E15" s="154">
        <f>D15+E14</f>
        <v/>
      </c>
      <c r="F15" s="154" t="inlineStr">
        <is>
          <t>Caja acumulada</t>
        </is>
      </c>
      <c r="G15" s="121" t="n"/>
      <c r="H15" s="122" t="n"/>
    </row>
    <row r="16">
      <c r="A16" s="13" t="n"/>
      <c r="B16" s="14" t="n"/>
      <c r="C16" s="14" t="n"/>
      <c r="D16" s="14" t="n"/>
      <c r="E16" s="14" t="n"/>
      <c r="F16" s="14" t="n"/>
      <c r="G16" s="121" t="n"/>
      <c r="H16" s="122" t="n"/>
    </row>
    <row r="17">
      <c r="A17" s="13" t="n"/>
      <c r="B17" s="14" t="n"/>
      <c r="C17" s="14" t="n"/>
      <c r="D17" s="14" t="n"/>
      <c r="E17" s="14" t="n"/>
      <c r="F17" s="14" t="n"/>
      <c r="G17" s="121" t="n"/>
      <c r="H17" s="122" t="n"/>
    </row>
    <row r="18">
      <c r="A18" s="13" t="n"/>
      <c r="B18" s="14" t="n"/>
      <c r="C18" s="14" t="n"/>
      <c r="D18" s="14" t="n"/>
      <c r="E18" s="14" t="n"/>
      <c r="F18" s="14" t="n"/>
      <c r="G18" s="121" t="n"/>
      <c r="H18" s="122" t="n"/>
    </row>
    <row r="19">
      <c r="A19" s="13" t="n"/>
      <c r="B19" s="14" t="n"/>
      <c r="C19" s="14" t="n"/>
      <c r="D19" s="14" t="n"/>
      <c r="E19" s="14" t="n"/>
      <c r="F19" s="14" t="n"/>
      <c r="G19" s="121" t="n"/>
      <c r="H19" s="122" t="n"/>
    </row>
    <row r="20">
      <c r="A20" s="13" t="n"/>
      <c r="B20" s="14" t="n"/>
      <c r="C20" s="14" t="n"/>
      <c r="D20" s="14" t="n"/>
      <c r="E20" s="14" t="n"/>
      <c r="F20" s="14" t="n"/>
      <c r="G20" s="121" t="n"/>
      <c r="H20" s="122" t="n"/>
    </row>
    <row r="21">
      <c r="A21" s="13" t="n"/>
      <c r="B21" s="14" t="n"/>
      <c r="C21" s="14" t="n"/>
      <c r="D21" s="14" t="n"/>
      <c r="E21" s="14" t="n"/>
      <c r="F21" s="14" t="n"/>
      <c r="G21" s="121" t="n"/>
      <c r="H21" s="122" t="n"/>
    </row>
    <row r="22">
      <c r="A22" s="13" t="n"/>
      <c r="B22" s="14" t="n"/>
      <c r="C22" s="14" t="n"/>
      <c r="D22" s="14" t="n"/>
      <c r="E22" s="14" t="n"/>
      <c r="F22" s="14" t="n"/>
      <c r="G22" s="121" t="n"/>
      <c r="H22" s="122" t="n"/>
    </row>
    <row r="23">
      <c r="A23" s="13" t="n"/>
      <c r="B23" s="14" t="n"/>
      <c r="C23" s="14" t="n"/>
      <c r="D23" s="14" t="n"/>
      <c r="E23" s="14" t="n"/>
      <c r="F23" s="14" t="n"/>
      <c r="G23" s="121" t="n"/>
      <c r="H23" s="122" t="n"/>
    </row>
    <row r="24">
      <c r="A24" s="13" t="n"/>
      <c r="B24" s="14" t="n"/>
      <c r="C24" s="14" t="n"/>
      <c r="D24" s="14" t="n"/>
      <c r="E24" s="14" t="n"/>
      <c r="F24" s="14" t="n"/>
      <c r="G24" s="121" t="n"/>
      <c r="H24" s="122" t="n"/>
    </row>
    <row r="25">
      <c r="A25" s="13" t="n"/>
      <c r="B25" s="14" t="n"/>
      <c r="C25" s="14" t="n"/>
      <c r="D25" s="14" t="n"/>
      <c r="E25" s="14" t="n"/>
      <c r="F25" s="14" t="n"/>
      <c r="G25" s="121" t="n"/>
      <c r="H25" s="122" t="n"/>
    </row>
    <row r="26">
      <c r="A26" s="13" t="n"/>
      <c r="B26" s="14" t="n"/>
      <c r="C26" s="14" t="n"/>
      <c r="D26" s="14" t="n"/>
      <c r="E26" s="14" t="n"/>
      <c r="F26" s="14" t="n"/>
      <c r="G26" s="121" t="n"/>
      <c r="H26" s="122" t="n"/>
    </row>
    <row r="27">
      <c r="A27" s="13" t="n"/>
      <c r="B27" s="14" t="n"/>
      <c r="C27" s="14" t="n"/>
      <c r="D27" s="14" t="n"/>
      <c r="E27" s="14" t="n"/>
      <c r="F27" s="14" t="n"/>
      <c r="G27" s="121" t="n"/>
      <c r="H27" s="122" t="n"/>
    </row>
    <row r="28">
      <c r="A28" s="13" t="n"/>
      <c r="B28" s="14" t="n"/>
      <c r="C28" s="14" t="n"/>
      <c r="D28" s="14" t="n"/>
      <c r="E28" s="14" t="n"/>
      <c r="F28" s="14" t="n"/>
      <c r="G28" s="121" t="n"/>
      <c r="H28" s="122" t="n"/>
    </row>
    <row r="29">
      <c r="A29" s="13" t="n"/>
      <c r="B29" s="14" t="n"/>
      <c r="C29" s="14" t="n"/>
      <c r="D29" s="14" t="n"/>
      <c r="E29" s="14" t="n"/>
      <c r="F29" s="14" t="n"/>
      <c r="G29" s="121" t="n"/>
      <c r="H29" s="122" t="n"/>
    </row>
    <row r="30">
      <c r="A30" s="13" t="n"/>
      <c r="B30" s="14" t="n"/>
      <c r="C30" s="14" t="n"/>
      <c r="D30" s="14" t="n"/>
      <c r="E30" s="14" t="n"/>
      <c r="F30" s="14" t="n"/>
      <c r="G30" s="121" t="n"/>
      <c r="H30" s="122" t="n"/>
    </row>
    <row r="31">
      <c r="A31" s="13" t="n"/>
      <c r="B31" s="14" t="n"/>
      <c r="C31" s="14" t="n"/>
      <c r="D31" s="14" t="n"/>
      <c r="E31" s="14" t="n"/>
      <c r="F31" s="14" t="n"/>
      <c r="G31" s="121" t="n"/>
      <c r="H31" s="122" t="n"/>
    </row>
    <row r="32">
      <c r="A32" s="13" t="n"/>
      <c r="B32" s="14" t="n"/>
      <c r="C32" s="14" t="n"/>
      <c r="D32" s="14" t="n"/>
      <c r="E32" s="14" t="n"/>
      <c r="F32" s="14" t="n"/>
      <c r="G32" s="121" t="n"/>
      <c r="H32" s="122" t="n"/>
    </row>
    <row r="33">
      <c r="A33" s="13" t="n"/>
      <c r="B33" s="14" t="n"/>
      <c r="C33" s="14" t="n"/>
      <c r="D33" s="14" t="n"/>
      <c r="E33" s="14" t="n"/>
      <c r="F33" s="14" t="n"/>
      <c r="G33" s="121" t="n"/>
      <c r="H33" s="122" t="n"/>
    </row>
    <row r="34">
      <c r="A34" s="13" t="n"/>
      <c r="B34" s="14" t="n"/>
      <c r="C34" s="14" t="n"/>
      <c r="D34" s="14" t="n"/>
      <c r="E34" s="14" t="n"/>
      <c r="F34" s="14" t="n"/>
      <c r="G34" s="121" t="n"/>
      <c r="H34" s="122" t="n"/>
    </row>
    <row r="35">
      <c r="A35" s="13" t="n"/>
      <c r="B35" s="14" t="n"/>
      <c r="C35" s="14" t="n"/>
      <c r="D35" s="14" t="n"/>
      <c r="E35" s="14" t="n"/>
      <c r="F35" s="14" t="n"/>
      <c r="G35" s="121" t="n"/>
      <c r="H35" s="122" t="n"/>
    </row>
    <row r="36">
      <c r="A36" s="13" t="n"/>
      <c r="B36" s="14" t="n"/>
      <c r="C36" s="14" t="n"/>
      <c r="D36" s="14" t="n"/>
      <c r="E36" s="14" t="n"/>
      <c r="F36" s="14" t="n"/>
      <c r="G36" s="121" t="n"/>
      <c r="H36" s="122" t="n"/>
    </row>
    <row r="37">
      <c r="A37" s="13" t="n"/>
      <c r="B37" s="14" t="n"/>
      <c r="C37" s="14" t="n"/>
      <c r="D37" s="14" t="n"/>
      <c r="E37" s="14" t="n"/>
      <c r="F37" s="14" t="n"/>
      <c r="G37" s="121" t="n"/>
      <c r="H37" s="122" t="n"/>
    </row>
    <row r="38">
      <c r="A38" s="13" t="n"/>
      <c r="B38" s="14" t="n"/>
      <c r="C38" s="14" t="n"/>
      <c r="D38" s="14" t="n"/>
      <c r="E38" s="14" t="n"/>
      <c r="F38" s="14" t="n"/>
      <c r="G38" s="121" t="n"/>
      <c r="H38" s="122" t="n"/>
    </row>
    <row r="39">
      <c r="A39" s="13" t="n"/>
      <c r="B39" s="14" t="n"/>
      <c r="C39" s="14" t="n"/>
      <c r="D39" s="14" t="n"/>
      <c r="E39" s="14" t="n"/>
      <c r="F39" s="14" t="n"/>
      <c r="G39" s="121" t="n"/>
      <c r="H39" s="122" t="n"/>
    </row>
    <row r="40">
      <c r="A40" s="13" t="n"/>
      <c r="B40" s="14" t="n"/>
      <c r="C40" s="14" t="n"/>
      <c r="D40" s="14" t="n"/>
      <c r="E40" s="14" t="n"/>
      <c r="F40" s="14" t="n"/>
      <c r="G40" s="121" t="n"/>
      <c r="H40" s="122" t="n"/>
    </row>
    <row r="41">
      <c r="A41" s="13" t="n"/>
      <c r="B41" s="14" t="n"/>
      <c r="C41" s="14" t="n"/>
      <c r="D41" s="14" t="n"/>
      <c r="E41" s="14" t="n"/>
      <c r="F41" s="14" t="n"/>
      <c r="G41" s="121" t="n"/>
      <c r="H41" s="122" t="n"/>
    </row>
    <row r="42">
      <c r="A42" s="13" t="n"/>
      <c r="B42" s="14" t="n"/>
      <c r="C42" s="14" t="n"/>
      <c r="D42" s="14" t="n"/>
      <c r="E42" s="14" t="n"/>
      <c r="F42" s="14" t="n"/>
      <c r="G42" s="121" t="n"/>
      <c r="H42" s="122" t="n"/>
    </row>
    <row r="43">
      <c r="A43" s="13" t="n"/>
      <c r="B43" s="14" t="n"/>
      <c r="C43" s="14" t="n"/>
      <c r="D43" s="14" t="n"/>
      <c r="E43" s="14" t="n"/>
      <c r="F43" s="14" t="n"/>
      <c r="G43" s="121" t="n"/>
      <c r="H43" s="122" t="n"/>
    </row>
    <row r="44">
      <c r="A44" s="13" t="n"/>
      <c r="B44" s="14" t="n"/>
      <c r="C44" s="14" t="n"/>
      <c r="D44" s="14" t="n"/>
      <c r="E44" s="14" t="n"/>
      <c r="F44" s="14" t="n"/>
      <c r="G44" s="121" t="n"/>
      <c r="H44" s="122" t="n"/>
    </row>
    <row r="45">
      <c r="A45" s="13" t="n"/>
      <c r="B45" s="14" t="n"/>
      <c r="C45" s="14" t="n"/>
      <c r="D45" s="14" t="n"/>
      <c r="E45" s="14" t="n"/>
      <c r="F45" s="14" t="n"/>
      <c r="G45" s="121" t="n"/>
      <c r="H45" s="122" t="n"/>
    </row>
    <row r="46">
      <c r="A46" s="13" t="n"/>
      <c r="B46" s="14" t="n"/>
      <c r="C46" s="14" t="n"/>
      <c r="D46" s="14" t="n"/>
      <c r="E46" s="14" t="n"/>
      <c r="F46" s="14" t="n"/>
      <c r="G46" s="121" t="n"/>
      <c r="H46" s="122" t="n"/>
    </row>
    <row r="47">
      <c r="A47" s="13" t="n"/>
      <c r="B47" s="14" t="n"/>
      <c r="C47" s="14" t="n"/>
      <c r="D47" s="14" t="n"/>
      <c r="E47" s="14" t="n"/>
      <c r="F47" s="14" t="n"/>
      <c r="G47" s="121" t="n"/>
      <c r="H47" s="122" t="n"/>
    </row>
    <row r="48">
      <c r="A48" s="13" t="n"/>
      <c r="B48" s="14" t="n"/>
      <c r="C48" s="14" t="n"/>
      <c r="D48" s="14" t="n"/>
      <c r="E48" s="14" t="n"/>
      <c r="F48" s="14" t="n"/>
      <c r="G48" s="121" t="n"/>
      <c r="H48" s="122" t="n"/>
    </row>
    <row r="49">
      <c r="A49" s="13" t="n"/>
      <c r="B49" s="14" t="n"/>
      <c r="C49" s="14" t="n"/>
      <c r="D49" s="14" t="n"/>
      <c r="E49" s="14" t="n"/>
      <c r="F49" s="14" t="n"/>
      <c r="G49" s="121" t="n"/>
      <c r="H49" s="122" t="n"/>
    </row>
    <row r="50">
      <c r="A50" s="13" t="n"/>
      <c r="B50" s="14" t="n"/>
      <c r="C50" s="14" t="n"/>
      <c r="D50" s="14" t="n"/>
      <c r="E50" s="14" t="n"/>
      <c r="F50" s="14" t="n"/>
      <c r="G50" s="121" t="n"/>
      <c r="H50" s="122" t="n"/>
    </row>
    <row r="51">
      <c r="A51" s="13" t="n"/>
      <c r="B51" s="14" t="n"/>
      <c r="C51" s="14" t="n"/>
      <c r="D51" s="14" t="n"/>
      <c r="E51" s="14" t="n"/>
      <c r="F51" s="14" t="n"/>
      <c r="G51" s="121" t="n"/>
      <c r="H51" s="122" t="n"/>
    </row>
    <row r="52">
      <c r="A52" s="13" t="n"/>
      <c r="B52" s="14" t="n"/>
      <c r="C52" s="14" t="n"/>
      <c r="D52" s="14" t="n"/>
      <c r="E52" s="14" t="n"/>
      <c r="F52" s="14" t="n"/>
      <c r="G52" s="121" t="n"/>
      <c r="H52" s="122" t="n"/>
    </row>
    <row r="53">
      <c r="A53" s="13" t="n"/>
      <c r="B53" s="14" t="n"/>
      <c r="C53" s="14" t="n"/>
      <c r="D53" s="14" t="n"/>
      <c r="E53" s="14" t="n"/>
      <c r="F53" s="14" t="n"/>
      <c r="G53" s="121" t="n"/>
      <c r="H53" s="122" t="n"/>
    </row>
    <row r="54">
      <c r="A54" s="13" t="n"/>
      <c r="B54" s="14" t="n"/>
      <c r="C54" s="14" t="n"/>
      <c r="D54" s="14" t="n"/>
      <c r="E54" s="14" t="n"/>
      <c r="F54" s="14" t="n"/>
      <c r="G54" s="121" t="n"/>
      <c r="H54" s="122" t="n"/>
    </row>
    <row r="55">
      <c r="A55" s="13" t="n"/>
      <c r="B55" s="14" t="n"/>
      <c r="C55" s="14" t="n"/>
      <c r="D55" s="14" t="n"/>
      <c r="E55" s="14" t="n"/>
      <c r="F55" s="14" t="n"/>
      <c r="G55" s="121" t="n"/>
      <c r="H55" s="122" t="n"/>
    </row>
    <row r="56">
      <c r="A56" s="13" t="n"/>
      <c r="B56" s="14" t="n"/>
      <c r="C56" s="14" t="n"/>
      <c r="D56" s="14" t="n"/>
      <c r="E56" s="14" t="n"/>
      <c r="F56" s="14" t="n"/>
      <c r="G56" s="121" t="n"/>
      <c r="H56" s="122" t="n"/>
    </row>
    <row r="57">
      <c r="A57" s="13" t="n"/>
      <c r="B57" s="14" t="n"/>
      <c r="C57" s="14" t="n"/>
      <c r="D57" s="14" t="n"/>
      <c r="E57" s="14" t="n"/>
      <c r="F57" s="14" t="n"/>
      <c r="G57" s="121" t="n"/>
      <c r="H57" s="122" t="n"/>
    </row>
    <row r="58">
      <c r="A58" s="13" t="n"/>
      <c r="B58" s="14" t="n"/>
      <c r="C58" s="14" t="n"/>
      <c r="D58" s="14" t="n"/>
      <c r="E58" s="14" t="n"/>
      <c r="F58" s="14" t="n"/>
      <c r="G58" s="121" t="n"/>
      <c r="H58" s="122" t="n"/>
    </row>
    <row r="59">
      <c r="A59" s="13" t="n"/>
      <c r="B59" s="14" t="n"/>
      <c r="C59" s="14" t="n"/>
      <c r="D59" s="14" t="n"/>
      <c r="E59" s="14" t="n"/>
      <c r="F59" s="14" t="n"/>
      <c r="G59" s="121" t="n"/>
      <c r="H59" s="122" t="n"/>
    </row>
    <row r="60">
      <c r="A60" s="16" t="n"/>
      <c r="B60" s="17" t="n"/>
      <c r="C60" s="17" t="n"/>
      <c r="D60" s="17" t="n"/>
      <c r="E60" s="17" t="n"/>
      <c r="F60" s="17" t="n"/>
      <c r="G60" s="127" t="n"/>
      <c r="H60" s="12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2" customWidth="1" min="5" max="5"/>
    <col width="36" customWidth="1" min="6" max="6"/>
    <col width="36" customWidth="1" min="7" max="7"/>
    <col width="38" customWidth="1" min="8" max="8"/>
  </cols>
  <sheetData>
    <row r="1">
      <c r="A1" s="107" t="inlineStr">
        <is>
          <t>08 Control</t>
        </is>
      </c>
      <c r="B1" s="108" t="str"/>
      <c r="C1" s="108" t="str"/>
      <c r="D1" s="108" t="str"/>
      <c r="E1" s="108" t="str"/>
      <c r="F1" s="109" t="str"/>
      <c r="G1" s="109" t="str"/>
      <c r="H1" s="120" t="n"/>
    </row>
    <row r="2">
      <c r="A2" s="111" t="inlineStr">
        <is>
          <t>Controles de coherencia del modelo financiero.</t>
        </is>
      </c>
      <c r="B2" s="112" t="str"/>
      <c r="C2" s="112" t="str"/>
      <c r="D2" s="112" t="str"/>
      <c r="E2" s="112" t="str"/>
      <c r="F2" s="112" t="str"/>
      <c r="G2" s="112" t="str"/>
      <c r="H2" s="122" t="n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22" t="n"/>
    </row>
    <row r="4">
      <c r="A4" s="13" t="n"/>
      <c r="B4" s="14" t="n"/>
      <c r="C4" s="14" t="n"/>
      <c r="D4" s="14" t="n"/>
      <c r="E4" s="14" t="n"/>
      <c r="F4" s="14" t="n"/>
      <c r="G4" s="14" t="n"/>
      <c r="H4" s="122" t="n"/>
    </row>
    <row r="5">
      <c r="A5" s="114" t="inlineStr">
        <is>
          <t>Comprobacion</t>
        </is>
      </c>
      <c r="B5" s="115" t="inlineStr">
        <is>
          <t>Actual</t>
        </is>
      </c>
      <c r="C5" s="115" t="inlineStr">
        <is>
          <t>Esperado</t>
        </is>
      </c>
      <c r="D5" s="115" t="inlineStr">
        <is>
          <t>Diferencia</t>
        </is>
      </c>
      <c r="E5" s="115" t="inlineStr">
        <is>
          <t>Estado</t>
        </is>
      </c>
      <c r="F5" s="115" t="inlineStr">
        <is>
          <t>Referencia</t>
        </is>
      </c>
      <c r="G5" s="115" t="inlineStr">
        <is>
          <t>Notas</t>
        </is>
      </c>
      <c r="H5" s="122" t="n"/>
    </row>
    <row r="6">
      <c r="A6" s="13" t="inlineStr">
        <is>
          <t>m2 total mantiene base</t>
        </is>
      </c>
      <c r="B6" s="164">
        <f>SUM('01_Supuestos'!B8:E8)</f>
        <v/>
      </c>
      <c r="C6" s="164">
        <f>'01_Supuestos'!B5</f>
        <v/>
      </c>
      <c r="D6" s="164">
        <f>B6-C6</f>
        <v/>
      </c>
      <c r="E6" s="137">
        <f>IF(ABS(D6)&lt;1,"OK","FALLO")</f>
        <v/>
      </c>
      <c r="F6" s="14" t="inlineStr">
        <is>
          <t>01_Supuestos!B5:B8</t>
        </is>
      </c>
      <c r="G6" s="14" t="inlineStr">
        <is>
          <t>Total emitido debe igualar la curva base original ajustada.</t>
        </is>
      </c>
      <c r="H6" s="122" t="n"/>
    </row>
    <row r="7">
      <c r="A7" s="13" t="inlineStr">
        <is>
          <t>Ingresos total suma componentes</t>
        </is>
      </c>
      <c r="B7" s="164">
        <f>'02_Detalle_Ingresos'!E42</f>
        <v/>
      </c>
      <c r="C7" s="164">
        <f>SUM('02_Detalle_Ingresos'!E31,'02_Detalle_Ingresos'!E36:E40)</f>
        <v/>
      </c>
      <c r="D7" s="164">
        <f>B7-C7</f>
        <v/>
      </c>
      <c r="E7" s="137">
        <f>IF(ABS(D7)&lt;0.01,"OK","FALLO")</f>
        <v/>
      </c>
      <c r="F7" s="14" t="inlineStr">
        <is>
          <t>02_Detalle_Ingresos</t>
        </is>
      </c>
      <c r="G7" s="14" t="inlineStr">
        <is>
          <t>Total ingresos = Asset OS + verticales.</t>
        </is>
      </c>
      <c r="H7" s="122" t="n"/>
    </row>
    <row r="8">
      <c r="A8" s="13" t="inlineStr">
        <is>
          <t>OPEX total suma categorias</t>
        </is>
      </c>
      <c r="B8" s="164">
        <f>'05_Detalle_OPEX'!E14</f>
        <v/>
      </c>
      <c r="C8" s="164">
        <f>SUM('05_Detalle_OPEX'!E6,'05_Detalle_OPEX'!E13)</f>
        <v/>
      </c>
      <c r="D8" s="164">
        <f>B8-C8</f>
        <v/>
      </c>
      <c r="E8" s="137">
        <f>IF(ABS(D8)&lt;0.01,"OK","FALLO")</f>
        <v/>
      </c>
      <c r="F8" s="14" t="inlineStr">
        <is>
          <t>05_Detalle_OPEX</t>
        </is>
      </c>
      <c r="G8" s="14" t="inlineStr">
        <is>
          <t>Total OPEX = personal + OPEX no-personal.</t>
        </is>
      </c>
      <c r="H8" s="122" t="n"/>
    </row>
    <row r="9">
      <c r="A9" s="13" t="inlineStr">
        <is>
          <t>Personal suma perfiles</t>
        </is>
      </c>
      <c r="B9" s="164">
        <f>'03_Detalle_Personal'!K38</f>
        <v/>
      </c>
      <c r="C9" s="164">
        <f>SUM('03_Detalle_Personal'!K6:K37)</f>
        <v/>
      </c>
      <c r="D9" s="164">
        <f>B9-C9</f>
        <v/>
      </c>
      <c r="E9" s="137">
        <f>IF(ABS(D9)&lt;0.01,"OK","FALLO")</f>
        <v/>
      </c>
      <c r="F9" s="14" t="inlineStr">
        <is>
          <t>03_Detalle_Personal</t>
        </is>
      </c>
      <c r="G9" s="14" t="inlineStr">
        <is>
          <t>Coste personal = suma perfil x FTE.</t>
        </is>
      </c>
      <c r="H9" s="122" t="n"/>
    </row>
    <row r="10">
      <c r="A10" s="13" t="inlineStr">
        <is>
          <t>EBITDA calcula margen menos OPEX</t>
        </is>
      </c>
      <c r="B10" s="164">
        <f>'06_Cuenta_Resultados'!E22</f>
        <v/>
      </c>
      <c r="C10" s="164">
        <f>'06_Cuenta_Resultados'!E17+'06_Cuenta_Resultados'!E21</f>
        <v/>
      </c>
      <c r="D10" s="164">
        <f>B10-C10</f>
        <v/>
      </c>
      <c r="E10" s="137">
        <f>IF(ABS(D10)&lt;0.01,"OK","FALLO")</f>
        <v/>
      </c>
      <c r="F10" s="14" t="inlineStr">
        <is>
          <t>06_Cuenta_Resultados</t>
        </is>
      </c>
      <c r="G10" s="14" t="inlineStr">
        <is>
          <t>EBITDA = margen bruto + OPEX total negativo.</t>
        </is>
      </c>
      <c r="H10" s="122" t="n"/>
    </row>
    <row r="11">
      <c r="A11" s="13" t="inlineStr">
        <is>
          <t>Resultado neto calcula EBT menos impuestos</t>
        </is>
      </c>
      <c r="B11" s="164">
        <f>'06_Cuenta_Resultados'!E29</f>
        <v/>
      </c>
      <c r="C11" s="164">
        <f>'06_Cuenta_Resultados'!E27+'06_Cuenta_Resultados'!E28</f>
        <v/>
      </c>
      <c r="D11" s="164">
        <f>B11-C11</f>
        <v/>
      </c>
      <c r="E11" s="137">
        <f>IF(ABS(D11)&lt;0.01,"OK","FALLO")</f>
        <v/>
      </c>
      <c r="F11" s="14" t="inlineStr">
        <is>
          <t>06_Cuenta_Resultados</t>
        </is>
      </c>
      <c r="G11" s="14" t="inlineStr">
        <is>
          <t>Resultado neto = resultado antes de impuestos + impuestos.</t>
        </is>
      </c>
      <c r="H11" s="122" t="n"/>
    </row>
    <row r="12">
      <c r="A12" s="13" t="inlineStr">
        <is>
          <t>Caja final roll-forward</t>
        </is>
      </c>
      <c r="B12" s="164">
        <f>'07_Caja_CAPEX_WC'!E15</f>
        <v/>
      </c>
      <c r="C12" s="164">
        <f>SUM('07_Caja_CAPEX_WC'!B14:E14)</f>
        <v/>
      </c>
      <c r="D12" s="164">
        <f>B12-C12</f>
        <v/>
      </c>
      <c r="E12" s="137">
        <f>IF(ABS(D12)&lt;0.01,"OK","FALLO")</f>
        <v/>
      </c>
      <c r="F12" s="14" t="inlineStr">
        <is>
          <t>07_Caja_CAPEX_WC</t>
        </is>
      </c>
      <c r="G12" s="14" t="inlineStr">
        <is>
          <t>Caja final = caja previa + flujo neto.</t>
        </is>
      </c>
      <c r="H12" s="122" t="n"/>
    </row>
    <row r="13">
      <c r="A13" s="13" t="inlineStr">
        <is>
          <t>Sin ingresos negativos materiales</t>
        </is>
      </c>
      <c r="B13" s="164">
        <f>MIN('02_Detalle_Ingresos'!B20:E42)</f>
        <v/>
      </c>
      <c r="C13" s="164">
        <f>-0.01</f>
        <v/>
      </c>
      <c r="D13" s="164">
        <f>MIN(0,B13-C13)</f>
        <v/>
      </c>
      <c r="E13" s="137">
        <f>IF(B13&gt;=C13,"OK","REVISAR")</f>
        <v/>
      </c>
      <c r="F13" s="14" t="inlineStr">
        <is>
          <t>02_Detalle_Ingresos</t>
        </is>
      </c>
      <c r="G13" s="14" t="inlineStr">
        <is>
          <t>Control simplificado de signo.</t>
        </is>
      </c>
      <c r="H13" s="122" t="n"/>
    </row>
    <row r="14">
      <c r="A14" s="13" t="inlineStr">
        <is>
          <t>Inversion 4,2M conciliada</t>
        </is>
      </c>
      <c r="B14" s="164">
        <f>'12_INV_Familias'!C21</f>
        <v/>
      </c>
      <c r="C14" s="164">
        <f>'11_INV_Resumen_4_2M'!B6</f>
        <v/>
      </c>
      <c r="D14" s="164">
        <f>B14-C14</f>
        <v/>
      </c>
      <c r="E14" s="137">
        <f>IF(ABS(D14)&lt;1,"OK","FALLO")</f>
        <v/>
      </c>
      <c r="F14" s="14" t="inlineStr">
        <is>
          <t>11_INV_Resumen_4_2M / 12_INV_Familias</t>
        </is>
      </c>
      <c r="G14" s="14" t="inlineStr">
        <is>
          <t>Total familias debe conciliar con valor actual de referencia.</t>
        </is>
      </c>
      <c r="H14" s="122" t="n"/>
    </row>
    <row r="15">
      <c r="A15" s="13" t="inlineStr">
        <is>
          <t>Uso fondos 300K conciliado</t>
        </is>
      </c>
      <c r="B15" s="164">
        <f>'14_300K_Uso_Fondos'!B12</f>
        <v/>
      </c>
      <c r="C15" s="164">
        <f>'13_300K_Resumen'!B6</f>
        <v/>
      </c>
      <c r="D15" s="164">
        <f>B15-C15</f>
        <v/>
      </c>
      <c r="E15" s="137">
        <f>IF(ABS(D15)&lt;0.01,"OK","FALLO")</f>
        <v/>
      </c>
      <c r="F15" s="14" t="inlineStr">
        <is>
          <t>13_300K_Resumen / 14_300K_Uso_Fondos</t>
        </is>
      </c>
      <c r="G15" s="14" t="inlineStr">
        <is>
          <t>Uso de fondos debe sumar 300.000 EUR.</t>
        </is>
      </c>
      <c r="H15" s="122" t="n"/>
    </row>
    <row r="16">
      <c r="A16" s="161" t="inlineStr">
        <is>
          <t>ESTADO MODELO</t>
        </is>
      </c>
      <c r="B16" s="154">
        <f>COUNTIF(E6:E15,"FALLO")+COUNTIF(E6:E15,"REVISAR")</f>
        <v/>
      </c>
      <c r="C16" s="154">
        <f>0</f>
        <v/>
      </c>
      <c r="D16" s="154">
        <f>B16-C16</f>
        <v/>
      </c>
      <c r="E16" s="154">
        <f>IF(B16=0,"OK","REVISAR")</f>
        <v/>
      </c>
      <c r="F16" s="154" t="inlineStr">
        <is>
          <t>Todas las comprobaciones</t>
        </is>
      </c>
      <c r="G16" s="154" t="inlineStr">
        <is>
          <t>OK si no hay fallos ni revisiones.</t>
        </is>
      </c>
      <c r="H16" s="122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2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22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22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22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22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22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22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22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22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22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2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22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2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22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22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22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22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22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22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22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22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22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22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22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22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22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22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22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22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22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22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22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22" t="n"/>
    </row>
    <row r="50">
      <c r="A50" s="16" t="n"/>
      <c r="B50" s="17" t="n"/>
      <c r="C50" s="17" t="n"/>
      <c r="D50" s="17" t="n"/>
      <c r="E50" s="17" t="n"/>
      <c r="F50" s="17" t="n"/>
      <c r="G50" s="17" t="n"/>
      <c r="H50" s="12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07" t="inlineStr">
        <is>
          <t>09 Documentacion soporte</t>
        </is>
      </c>
      <c r="B1" s="109" t="str"/>
      <c r="C1" s="109" t="str"/>
      <c r="D1" s="109" t="str"/>
      <c r="E1" s="109" t="str"/>
      <c r="F1" s="109" t="str"/>
      <c r="G1" s="109" t="str"/>
      <c r="H1" s="110" t="str"/>
    </row>
    <row r="2">
      <c r="A2" s="111" t="inlineStr">
        <is>
          <t>Fuentes y convenciones de lectura del modelo.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Item</t>
        </is>
      </c>
      <c r="B5" s="115" t="inlineStr">
        <is>
          <t>Valor</t>
        </is>
      </c>
      <c r="C5" s="115" t="inlineStr">
        <is>
          <t>Unidades</t>
        </is>
      </c>
      <c r="D5" s="115" t="inlineStr">
        <is>
          <t>Periodo/as-of</t>
        </is>
      </c>
      <c r="E5" s="115" t="inlineStr">
        <is>
          <t>Tipo de fuente</t>
        </is>
      </c>
      <c r="F5" s="115" t="inlineStr">
        <is>
          <t>Nombre/ref</t>
        </is>
      </c>
      <c r="G5" s="115" t="inlineStr">
        <is>
          <t>Responsable</t>
        </is>
      </c>
      <c r="H5" s="129" t="inlineStr">
        <is>
          <t>Notas</t>
        </is>
      </c>
    </row>
    <row r="6">
      <c r="A6" s="13" t="inlineStr">
        <is>
          <t>Documento principal</t>
        </is>
      </c>
      <c r="B6" s="14" t="inlineStr">
        <is>
          <t>Business Plan total definitivo</t>
        </is>
      </c>
      <c r="C6" s="14" t="inlineStr">
        <is>
          <t>docx</t>
        </is>
      </c>
      <c r="D6" s="14" t="inlineStr">
        <is>
          <t>Actual</t>
        </is>
      </c>
      <c r="E6" s="14" t="inlineStr">
        <is>
          <t>Documento CUEVA</t>
        </is>
      </c>
      <c r="F6" s="14" t="inlineStr">
        <is>
          <t>CUEVA_BP_TOTAL_DEFINITIVO_INVERSORES.docx</t>
        </is>
      </c>
      <c r="G6" s="14" t="inlineStr">
        <is>
          <t>CUEVA</t>
        </is>
      </c>
      <c r="H6" s="15" t="inlineStr">
        <is>
          <t>Exposicion completa de proyecto, producto, lineas, valoracion, plan 300K y plan 2030.</t>
        </is>
      </c>
    </row>
    <row r="7">
      <c r="A7" s="13" t="inlineStr">
        <is>
          <t>Plan 300K</t>
        </is>
      </c>
      <c r="B7" s="14" t="inlineStr">
        <is>
          <t>Business Plan independiente 2026/2027</t>
        </is>
      </c>
      <c r="C7" s="14" t="inlineStr">
        <is>
          <t>docx</t>
        </is>
      </c>
      <c r="D7" s="14" t="inlineStr">
        <is>
          <t>2026/27</t>
        </is>
      </c>
      <c r="E7" s="14" t="inlineStr">
        <is>
          <t>Documento CUEVA</t>
        </is>
      </c>
      <c r="F7" s="14" t="inlineStr">
        <is>
          <t>CUEVA_BP_300K_2026_2027_INDEPENDIENTE.docx</t>
        </is>
      </c>
      <c r="G7" s="14" t="inlineStr">
        <is>
          <t>CUEVA</t>
        </is>
      </c>
      <c r="H7" s="15" t="inlineStr">
        <is>
          <t>Plan inmediato separado del plan total para evitar mezclar uso de fondos con scale case.</t>
        </is>
      </c>
    </row>
    <row r="8">
      <c r="A8" s="13" t="inlineStr">
        <is>
          <t>Valoracion 4,2M</t>
        </is>
      </c>
      <c r="B8" s="14" t="inlineStr">
        <is>
          <t>4.216.174,70 EUR</t>
        </is>
      </c>
      <c r="C8" s="14" t="inlineStr">
        <is>
          <t>EUR</t>
        </is>
      </c>
      <c r="D8" s="14" t="inlineStr">
        <is>
          <t>2012/13-actualidad</t>
        </is>
      </c>
      <c r="E8" s="14" t="inlineStr">
        <is>
          <t>Informe de inversion acumulada</t>
        </is>
      </c>
      <c r="F8" s="14" t="inlineStr">
        <is>
          <t>CUEVA_VALORACION_4_2M_INVERSION_PRODUCTO.docx</t>
        </is>
      </c>
      <c r="G8" s="14" t="inlineStr">
        <is>
          <t>CUEVA</t>
        </is>
      </c>
      <c r="H8" s="15" t="inlineStr">
        <is>
          <t>Valor de referencia por inversion acumulada, profundidad tecnica y producto construido.</t>
        </is>
      </c>
    </row>
    <row r="9">
      <c r="A9" s="13" t="inlineStr">
        <is>
          <t>Modelo financiero</t>
        </is>
      </c>
      <c r="B9" s="14" t="inlineStr">
        <is>
          <t>Modelo definitivo</t>
        </is>
      </c>
      <c r="C9" s="14" t="inlineStr">
        <is>
          <t>xlsx</t>
        </is>
      </c>
      <c r="D9" s="14" t="inlineStr">
        <is>
          <t>2026/27-2030</t>
        </is>
      </c>
      <c r="E9" s="14" t="inlineStr">
        <is>
          <t>Modelo CUEVA</t>
        </is>
      </c>
      <c r="F9" s="14" t="inlineStr">
        <is>
          <t>CUEVA_MODELO_FINANCIERO_DEFINITIVO.xlsx</t>
        </is>
      </c>
      <c r="G9" s="14" t="inlineStr">
        <is>
          <t>CUEVA</t>
        </is>
      </c>
      <c r="H9" s="15" t="inlineStr">
        <is>
          <t>Plan 2030, inversion acumulada 4,2M y plan 300K en bloques separados.</t>
        </is>
      </c>
    </row>
    <row r="10">
      <c r="A10" s="13" t="inlineStr">
        <is>
          <t>Convencion</t>
        </is>
      </c>
      <c r="B10" s="14" t="inlineStr">
        <is>
          <t>EUR M salvo indicacion</t>
        </is>
      </c>
      <c r="C10" s="14" t="inlineStr">
        <is>
          <t>convencion</t>
        </is>
      </c>
      <c r="D10" s="14" t="inlineStr">
        <is>
          <t>todos</t>
        </is>
      </c>
      <c r="E10" s="14" t="inlineStr">
        <is>
          <t>Convencion de modelo</t>
        </is>
      </c>
      <c r="F10" s="14" t="inlineStr">
        <is>
          <t>00_Portada</t>
        </is>
      </c>
      <c r="G10" s="14" t="inlineStr">
        <is>
          <t>CUEVA</t>
        </is>
      </c>
      <c r="H10" s="15" t="inlineStr">
        <is>
          <t>Ingresos, OPEX, cuenta de resultados y caja expresados en millones de euros.</t>
        </is>
      </c>
    </row>
    <row r="11">
      <c r="A11" s="13" t="inlineStr">
        <is>
          <t>Ingresos</t>
        </is>
      </c>
      <c r="B11" s="14" t="inlineStr">
        <is>
          <t>Conceptos y drivers detallados</t>
        </is>
      </c>
      <c r="C11" s="14" t="inlineStr">
        <is>
          <t>EUR M</t>
        </is>
      </c>
      <c r="D11" s="14" t="inlineStr">
        <is>
          <t>2026/27-2030</t>
        </is>
      </c>
      <c r="E11" s="14" t="inlineStr">
        <is>
          <t>Modelo financiero</t>
        </is>
      </c>
      <c r="F11" s="14" t="inlineStr">
        <is>
          <t>02_Detalle_Ingresos</t>
        </is>
      </c>
      <c r="G11" s="14" t="inlineStr">
        <is>
          <t>CUEVA</t>
        </is>
      </c>
      <c r="H11" s="15" t="inlineStr">
        <is>
          <t>Digitalizacion, usage fees, producto, verticales, marketplace y capa financiera.</t>
        </is>
      </c>
    </row>
    <row r="12">
      <c r="A12" s="13" t="inlineStr">
        <is>
          <t>Personal</t>
        </is>
      </c>
      <c r="B12" s="14" t="inlineStr">
        <is>
          <t>Perfil x sueldo x FTE</t>
        </is>
      </c>
      <c r="C12" s="14" t="inlineStr">
        <is>
          <t>EUR M</t>
        </is>
      </c>
      <c r="D12" s="14" t="inlineStr">
        <is>
          <t>2026/27-2030</t>
        </is>
      </c>
      <c r="E12" s="14" t="inlineStr">
        <is>
          <t>Modelo financiero</t>
        </is>
      </c>
      <c r="F12" s="14" t="inlineStr">
        <is>
          <t>03_Detalle_Personal</t>
        </is>
      </c>
      <c r="G12" s="14" t="inlineStr">
        <is>
          <t>CUEVA</t>
        </is>
      </c>
      <c r="H12" s="15" t="inlineStr">
        <is>
          <t>Plan editable de plantilla por departamento y perfil.</t>
        </is>
      </c>
    </row>
    <row r="13">
      <c r="A13" s="13" t="inlineStr">
        <is>
          <t>OPEX</t>
        </is>
      </c>
      <c r="B13" s="14" t="inlineStr">
        <is>
          <t>Detalle operativo y corporativo</t>
        </is>
      </c>
      <c r="C13" s="14" t="inlineStr">
        <is>
          <t>EUR M</t>
        </is>
      </c>
      <c r="D13" s="14" t="inlineStr">
        <is>
          <t>2026/27-2030</t>
        </is>
      </c>
      <c r="E13" s="14" t="inlineStr">
        <is>
          <t>Modelo financiero</t>
        </is>
      </c>
      <c r="F13" s="14" t="inlineStr">
        <is>
          <t>04_OPEX_Operativo / 05_Detalle_OPEX</t>
        </is>
      </c>
      <c r="G13" s="14" t="inlineStr">
        <is>
          <t>CUEVA</t>
        </is>
      </c>
      <c r="H13" s="15" t="inlineStr">
        <is>
          <t>Desglose de costes no-personal, contingencia y estructura operativa.</t>
        </is>
      </c>
    </row>
    <row r="14">
      <c r="A14" s="13" t="inlineStr">
        <is>
          <t>Control</t>
        </is>
      </c>
      <c r="B14" s="14" t="inlineStr">
        <is>
          <t>OK/REVISAR/FALLO</t>
        </is>
      </c>
      <c r="C14" s="14" t="inlineStr">
        <is>
          <t>estado</t>
        </is>
      </c>
      <c r="D14" s="14" t="inlineStr">
        <is>
          <t>2026/27-2030</t>
        </is>
      </c>
      <c r="E14" s="14" t="inlineStr">
        <is>
          <t>Control de coherencia</t>
        </is>
      </c>
      <c r="F14" s="14" t="inlineStr">
        <is>
          <t>08_Control</t>
        </is>
      </c>
      <c r="G14" s="14" t="inlineStr">
        <is>
          <t>CUEVA</t>
        </is>
      </c>
      <c r="H14" s="15" t="inlineStr">
        <is>
          <t>Controles de m2, ingresos, OPEX, personal, EBITDA, resultado neto, caja e inversion.</t>
        </is>
      </c>
    </row>
    <row r="15">
      <c r="A15" s="13" t="inlineStr">
        <is>
          <t>Paquetes de producto</t>
        </is>
      </c>
      <c r="B15" s="14" t="inlineStr">
        <is>
          <t>P0-P5 + verticales</t>
        </is>
      </c>
      <c r="C15" s="14" t="inlineStr">
        <is>
          <t>producto</t>
        </is>
      </c>
      <c r="D15" s="14" t="inlineStr">
        <is>
          <t>todos</t>
        </is>
      </c>
      <c r="E15" s="14" t="inlineStr">
        <is>
          <t>Modelo financiero</t>
        </is>
      </c>
      <c r="F15" s="14" t="inlineStr">
        <is>
          <t>10_Paquetes_Producto</t>
        </is>
      </c>
      <c r="G15" s="14" t="inlineStr">
        <is>
          <t>CUEVA</t>
        </is>
      </c>
      <c r="H15" s="15" t="inlineStr">
        <is>
          <t>Conexion entre producto, entregables, drivers economicos y gates.</t>
        </is>
      </c>
    </row>
    <row r="16">
      <c r="A16" s="13" t="inlineStr">
        <is>
          <t>Inversion acumulada</t>
        </is>
      </c>
      <c r="B16" s="14" t="inlineStr">
        <is>
          <t>4.216.174,70 EUR</t>
        </is>
      </c>
      <c r="C16" s="14" t="inlineStr">
        <is>
          <t>EUR</t>
        </is>
      </c>
      <c r="D16" s="14" t="inlineStr">
        <is>
          <t>hasta actualidad</t>
        </is>
      </c>
      <c r="E16" s="14" t="inlineStr">
        <is>
          <t>Informe inversion/producto</t>
        </is>
      </c>
      <c r="F16" s="14" t="inlineStr">
        <is>
          <t>11_INV_Resumen_4_2M / 12_INV_Familias</t>
        </is>
      </c>
      <c r="G16" s="14" t="inlineStr">
        <is>
          <t>CUEVA</t>
        </is>
      </c>
      <c r="H16" s="15" t="inlineStr">
        <is>
          <t>Bloque separado del forecast para no mezclar valor construido con cuenta de resultados futura.</t>
        </is>
      </c>
    </row>
    <row r="17">
      <c r="A17" s="13" t="inlineStr">
        <is>
          <t>Plan 300K</t>
        </is>
      </c>
      <c r="B17" s="14" t="inlineStr">
        <is>
          <t>300.000 EUR</t>
        </is>
      </c>
      <c r="C17" s="14" t="inlineStr">
        <is>
          <t>EUR</t>
        </is>
      </c>
      <c r="D17" s="14" t="inlineStr">
        <is>
          <t>2026/27</t>
        </is>
      </c>
      <c r="E17" s="14" t="inlineStr">
        <is>
          <t>Plan inmediato</t>
        </is>
      </c>
      <c r="F17" s="14" t="inlineStr">
        <is>
          <t>13_300K_Resumen / 14_300K_Uso_Fondos / 15_300K_Pipeline_2027</t>
        </is>
      </c>
      <c r="G17" s="14" t="inlineStr">
        <is>
          <t>CUEVA</t>
        </is>
      </c>
      <c r="H17" s="15" t="inlineStr">
        <is>
          <t>Bloque separado del scale case; activa reduccion de riesgo, producto vendible y Hub Valeriano.</t>
        </is>
      </c>
    </row>
    <row r="18">
      <c r="A18" s="13" t="inlineStr">
        <is>
          <t>Puente 300K escala</t>
        </is>
      </c>
      <c r="B18" s="14" t="inlineStr">
        <is>
          <t>Plan minimo vs scale case</t>
        </is>
      </c>
      <c r="C18" s="14" t="inlineStr">
        <is>
          <t>lectura</t>
        </is>
      </c>
      <c r="D18" s="14" t="inlineStr">
        <is>
          <t>2027</t>
        </is>
      </c>
      <c r="E18" s="14" t="inlineStr">
        <is>
          <t>Modelo financiero</t>
        </is>
      </c>
      <c r="F18" s="14" t="inlineStr">
        <is>
          <t>16_300K_Puente_Escala</t>
        </is>
      </c>
      <c r="G18" s="14" t="inlineStr">
        <is>
          <t>CUEVA</t>
        </is>
      </c>
      <c r="H18" s="15" t="inlineStr">
        <is>
          <t>Separa plan obligatorio de crecimiento financiado.</t>
        </is>
      </c>
    </row>
    <row r="19">
      <c r="A19" s="13" t="n"/>
      <c r="B19" s="14" t="n"/>
      <c r="C19" s="14" t="n"/>
      <c r="D19" s="14" t="n"/>
      <c r="E19" s="14" t="n"/>
      <c r="F19" s="14" t="n"/>
      <c r="G19" s="14" t="n"/>
      <c r="H19" s="15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5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5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 t="n"/>
    </row>
    <row r="70">
      <c r="A70" s="16" t="n"/>
      <c r="B70" s="17" t="n"/>
      <c r="C70" s="17" t="n"/>
      <c r="D70" s="17" t="n"/>
      <c r="E70" s="17" t="n"/>
      <c r="F70" s="17" t="n"/>
      <c r="G70" s="17" t="n"/>
      <c r="H70" s="1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07" t="inlineStr">
        <is>
          <t>10 Paquetes de producto</t>
        </is>
      </c>
      <c r="B1" s="108" t="str"/>
      <c r="C1" s="109" t="str"/>
      <c r="D1" s="109" t="str"/>
      <c r="E1" s="109" t="str"/>
      <c r="F1" s="109" t="str"/>
      <c r="G1" s="109" t="str"/>
      <c r="H1" s="110" t="str"/>
    </row>
    <row r="2">
      <c r="A2" s="111" t="inlineStr">
        <is>
          <t>Conexion entre producto, entregables, drivers economicos y plan 2030. Se conservan los nombres propios de paquetes/producto.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Paquete / producto</t>
        </is>
      </c>
      <c r="B5" s="115" t="inlineStr">
        <is>
          <t>TRL actual</t>
        </is>
      </c>
      <c r="C5" s="115" t="inlineStr">
        <is>
          <t>Rol economico</t>
        </is>
      </c>
      <c r="D5" s="115" t="inlineStr">
        <is>
          <t>Driver principal</t>
        </is>
      </c>
      <c r="E5" s="115" t="inlineStr">
        <is>
          <t>Tareas clave</t>
        </is>
      </c>
      <c r="F5" s="115" t="inlineStr">
        <is>
          <t>Entregable / gate</t>
        </is>
      </c>
      <c r="G5" s="115" t="inlineStr">
        <is>
          <t>Hoja economica</t>
        </is>
      </c>
      <c r="H5" s="129" t="inlineStr">
        <is>
          <t>Notas</t>
        </is>
      </c>
    </row>
    <row r="6">
      <c r="A6" s="13" t="inlineStr">
        <is>
          <t>P0 Discovery &amp; Blueprint</t>
        </is>
      </c>
      <c r="B6" s="14" t="inlineStr">
        <is>
          <t>8/9</t>
        </is>
      </c>
      <c r="C6" s="14" t="inlineStr">
        <is>
          <t>Entrada consultiva y configuracion de caso</t>
        </is>
      </c>
      <c r="D6" s="14" t="inlineStr">
        <is>
          <t>Partners / proyecto</t>
        </is>
      </c>
      <c r="E6" s="14" t="inlineStr">
        <is>
          <t>Diagnostico, parametrizacion, alcance tecnico, plan de datos, mapa de evidencias</t>
        </is>
      </c>
      <c r="F6" s="14" t="inlineStr">
        <is>
          <t>Blueprint validado y caso listo para red</t>
        </is>
      </c>
      <c r="G6" s="14" t="inlineStr">
        <is>
          <t>02_Detalle_Ingresos</t>
        </is>
      </c>
      <c r="H6" s="15" t="inlineStr">
        <is>
          <t>Reduce riesgo de implantacion y acelera activacion.</t>
        </is>
      </c>
    </row>
    <row r="7">
      <c r="A7" s="13" t="inlineStr">
        <is>
          <t>P1 Factory Core</t>
        </is>
      </c>
      <c r="B7" s="14" t="inlineStr">
        <is>
          <t>8/9</t>
        </is>
      </c>
      <c r="C7" s="14" t="inlineStr">
        <is>
          <t>Digitalizacion fabricante y fee de red</t>
        </is>
      </c>
      <c r="D7" s="14" t="inlineStr">
        <is>
          <t>m2 fabricados verificados</t>
        </is>
      </c>
      <c r="E7" s="14" t="inlineStr">
        <is>
          <t>Alta fabricante, geometria base, reglas de produccion, trazabilidad de fabrica, conexion con stock</t>
        </is>
      </c>
      <c r="F7" s="14" t="inlineStr">
        <is>
          <t>Fabricante operativo en red</t>
        </is>
      </c>
      <c r="G7" s="14" t="inlineStr">
        <is>
          <t>02_Detalle_Ingresos</t>
        </is>
      </c>
      <c r="H7" s="15" t="inlineStr">
        <is>
          <t>Base del ingreso por fabricante y del trigger de m2.</t>
        </is>
      </c>
    </row>
    <row r="8">
      <c r="A8" s="13" t="inlineStr">
        <is>
          <t>P2 Warehouse &amp; Logistics</t>
        </is>
      </c>
      <c r="B8" s="14" t="inlineStr">
        <is>
          <t>8/9</t>
        </is>
      </c>
      <c r="C8" s="14" t="inlineStr">
        <is>
          <t>Trazabilidad de stock, preparacion y movimientos</t>
        </is>
      </c>
      <c r="D8" s="14" t="inlineStr">
        <is>
          <t>Stock vivo / partners</t>
        </is>
      </c>
      <c r="E8" s="14" t="inlineStr">
        <is>
          <t>Lecturas, lotes, ubicaciones, expediciones, integracion con evidencias y reporting</t>
        </is>
      </c>
      <c r="F8" s="14" t="inlineStr">
        <is>
          <t>Stock trazable y auditable</t>
        </is>
      </c>
      <c r="G8" s="14" t="inlineStr">
        <is>
          <t>02_Detalle_Ingresos</t>
        </is>
      </c>
      <c r="H8" s="15" t="inlineStr">
        <is>
          <t>Conecta fabricacion, logistica y datos operativos.</t>
        </is>
      </c>
    </row>
    <row r="9">
      <c r="A9" s="13" t="inlineStr">
        <is>
          <t>P3 Site Proof / POI</t>
        </is>
      </c>
      <c r="B9" s="14" t="inlineStr">
        <is>
          <t>8/9</t>
        </is>
      </c>
      <c r="C9" s="14" t="inlineStr">
        <is>
          <t>Evidence pack de instalacion</t>
        </is>
      </c>
      <c r="D9" s="14" t="inlineStr">
        <is>
          <t>m2 instalados/verificados</t>
        </is>
      </c>
      <c r="E9" s="14" t="inlineStr">
        <is>
          <t>Lectura en obra, validacion de montaje, incidencias, cierre POI, fotografia/evidencia</t>
        </is>
      </c>
      <c r="F9" s="14" t="inlineStr">
        <is>
          <t>POI cerrado por activo</t>
        </is>
      </c>
      <c r="G9" s="14" t="inlineStr">
        <is>
          <t>02_Detalle_Ingresos</t>
        </is>
      </c>
      <c r="H9" s="15" t="inlineStr">
        <is>
          <t>Paquete clave para defender evidencia de obra y servicio al cliente.</t>
        </is>
      </c>
    </row>
    <row r="10">
      <c r="A10" s="13" t="inlineStr">
        <is>
          <t>P4 DPP / Carpeta Madre</t>
        </is>
      </c>
      <c r="B10" s="14" t="inlineStr">
        <is>
          <t>8/9</t>
        </is>
      </c>
      <c r="C10" s="14" t="inlineStr">
        <is>
          <t>Pasaporte documental y dossier vivo</t>
        </is>
      </c>
      <c r="D10" s="14" t="inlineStr">
        <is>
          <t>m2 con DPP completado</t>
        </is>
      </c>
      <c r="E10" s="14" t="inlineStr">
        <is>
          <t>Documentacion tecnica, evidencias, responsables, permisos, trazabilidad documental</t>
        </is>
      </c>
      <c r="F10" s="14" t="inlineStr">
        <is>
          <t>DPP / Carpeta Madre emitida</t>
        </is>
      </c>
      <c r="G10" s="14" t="inlineStr">
        <is>
          <t>02_Detalle_Ingresos</t>
        </is>
      </c>
      <c r="H10" s="15" t="inlineStr">
        <is>
          <t>Capa documental que convierte el activo en verificable y mantenible.</t>
        </is>
      </c>
    </row>
    <row r="11">
      <c r="A11" s="13" t="inlineStr">
        <is>
          <t>P5 Data / Risk / Market</t>
        </is>
      </c>
      <c r="B11" s="14" t="inlineStr">
        <is>
          <t>8/9</t>
        </is>
      </c>
      <c r="C11" s="14" t="inlineStr">
        <is>
          <t>Datos, reporting, riesgo y marketplace</t>
        </is>
      </c>
      <c r="D11" s="14" t="inlineStr">
        <is>
          <t>Stock vivo / penetracion</t>
        </is>
      </c>
      <c r="E11" s="14" t="inlineStr">
        <is>
          <t>Data layers, indicadores, reporting, scoring operativo, permisos, APIs, marketplace</t>
        </is>
      </c>
      <c r="F11" s="14" t="inlineStr">
        <is>
          <t>Datos explotables y servicios recurrentes</t>
        </is>
      </c>
      <c r="G11" s="14" t="inlineStr">
        <is>
          <t>02_Detalle_Ingresos</t>
        </is>
      </c>
      <c r="H11" s="15" t="inlineStr">
        <is>
          <t>Motor de recurrencia y expansion de margen.</t>
        </is>
      </c>
    </row>
    <row r="12">
      <c r="A12" s="13" t="inlineStr">
        <is>
          <t>CUEVA Designer</t>
        </is>
      </c>
      <c r="B12" s="14" t="inlineStr">
        <is>
          <t>8/9</t>
        </is>
      </c>
      <c r="C12" s="14" t="inlineStr">
        <is>
          <t>Diseño/generativo/API</t>
        </is>
      </c>
      <c r="D12" s="14" t="inlineStr">
        <is>
          <t>m2 emitidos x adopcion</t>
        </is>
      </c>
      <c r="E12" s="14" t="inlineStr">
        <is>
          <t>Configurador, generacion de proyectos, reglas, outputs y conexion a API</t>
        </is>
      </c>
      <c r="F12" s="14" t="inlineStr">
        <is>
          <t>Proyecto generado/validado</t>
        </is>
      </c>
      <c r="G12" s="14" t="inlineStr">
        <is>
          <t>02_Detalle_Ingresos</t>
        </is>
      </c>
      <c r="H12" s="15" t="inlineStr">
        <is>
          <t>Integra el desarrollo de vivienda generativa en la plataforma.</t>
        </is>
      </c>
    </row>
    <row r="13">
      <c r="A13" s="13" t="inlineStr">
        <is>
          <t>CUEVA Manager</t>
        </is>
      </c>
      <c r="B13" s="14" t="inlineStr">
        <is>
          <t>8/9</t>
        </is>
      </c>
      <c r="C13" s="14" t="inlineStr">
        <is>
          <t>Gestion operacional de proyectos y agentes</t>
        </is>
      </c>
      <c r="D13" s="14" t="inlineStr">
        <is>
          <t>m2 emitidos x adopcion</t>
        </is>
      </c>
      <c r="E13" s="14" t="inlineStr">
        <is>
          <t>Project room, permisos, tareas, control de cambios, colaboracion y estado</t>
        </is>
      </c>
      <c r="F13" s="14" t="inlineStr">
        <is>
          <t>Proyecto gestionado en plataforma</t>
        </is>
      </c>
      <c r="G13" s="14" t="inlineStr">
        <is>
          <t>02_Detalle_Ingresos</t>
        </is>
      </c>
      <c r="H13" s="15" t="inlineStr">
        <is>
          <t>Interfaz de gestion para agentes de la red.</t>
        </is>
      </c>
    </row>
    <row r="14">
      <c r="A14" s="13" t="inlineStr">
        <is>
          <t>iPath</t>
        </is>
      </c>
      <c r="B14" s="14" t="inlineStr">
        <is>
          <t>8/9</t>
        </is>
      </c>
      <c r="C14" s="14" t="inlineStr">
        <is>
          <t>Vertical de infraestructura urbana industrializada</t>
        </is>
      </c>
      <c r="D14" s="14" t="inlineStr">
        <is>
          <t>Revenue vertical</t>
        </is>
      </c>
      <c r="E14" s="14" t="inlineStr">
        <is>
          <t>Diseño de rutas, piezas, instalacion, datos, mantenimiento y reporting</t>
        </is>
      </c>
      <c r="F14" s="14" t="inlineStr">
        <is>
          <t>Caso iPath operativo</t>
        </is>
      </c>
      <c r="G14" s="14" t="inlineStr">
        <is>
          <t>02_Detalle_Ingresos</t>
        </is>
      </c>
      <c r="H14" s="15" t="inlineStr">
        <is>
          <t>Linea de producto con ingresos propios.</t>
        </is>
      </c>
    </row>
    <row r="15">
      <c r="A15" s="13" t="inlineStr">
        <is>
          <t>Moolde</t>
        </is>
      </c>
      <c r="B15" s="14" t="inlineStr">
        <is>
          <t>8/9</t>
        </is>
      </c>
      <c r="C15" s="14" t="inlineStr">
        <is>
          <t>Circularidad/materiales</t>
        </is>
      </c>
      <c r="D15" s="14" t="inlineStr">
        <is>
          <t>Revenue vertical</t>
        </is>
      </c>
      <c r="E15" s="14" t="inlineStr">
        <is>
          <t>Registro de materiales, stock, trazabilidad, recuperacion y valorizacion</t>
        </is>
      </c>
      <c r="F15" s="14" t="inlineStr">
        <is>
          <t>Caso Moolde operativo</t>
        </is>
      </c>
      <c r="G15" s="14" t="inlineStr">
        <is>
          <t>02_Detalle_Ingresos</t>
        </is>
      </c>
      <c r="H15" s="15" t="inlineStr">
        <is>
          <t>Complementa circularidad, residuos y eficiencia material.</t>
        </is>
      </c>
    </row>
    <row r="16">
      <c r="A16" s="13" t="inlineStr">
        <is>
          <t>Activos digitales</t>
        </is>
      </c>
      <c r="B16" s="14" t="inlineStr">
        <is>
          <t>6/7</t>
        </is>
      </c>
      <c r="C16" s="14" t="inlineStr">
        <is>
          <t>Capa financiera, tokenizacion y modelos NFT</t>
        </is>
      </c>
      <c r="D16" s="14" t="inlineStr">
        <is>
          <t>Financial Layer</t>
        </is>
      </c>
      <c r="E16" s="14" t="inlineStr">
        <is>
          <t>Modelo financiero, identidad digital, derechos, gobernanza y evidencias asociadas</t>
        </is>
      </c>
      <c r="F16" s="14" t="inlineStr">
        <is>
          <t>Capa financiera preparada para siguiente fase</t>
        </is>
      </c>
      <c r="G16" s="14" t="inlineStr">
        <is>
          <t>02_Detalle_Ingresos</t>
        </is>
      </c>
      <c r="H16" s="15" t="inlineStr">
        <is>
          <t>Se mantiene en TRL inferior frente al core operativo.</t>
        </is>
      </c>
    </row>
    <row r="17">
      <c r="A17" s="13" t="inlineStr">
        <is>
          <t>Red de partners</t>
        </is>
      </c>
      <c r="B17" s="14" t="inlineStr">
        <is>
          <t>8/9</t>
        </is>
      </c>
      <c r="C17" s="14" t="inlineStr">
        <is>
          <t>Escala comercial y operativa</t>
        </is>
      </c>
      <c r="D17" s="14" t="inlineStr">
        <is>
          <t>Partners activos</t>
        </is>
      </c>
      <c r="E17" s="14" t="inlineStr">
        <is>
          <t>Onboarding, formacion, soporte, protocolos, QA, enablement y seguimiento</t>
        </is>
      </c>
      <c r="F17" s="14" t="inlineStr">
        <is>
          <t>Partner activo y medible</t>
        </is>
      </c>
      <c r="G17" s="14" t="inlineStr">
        <is>
          <t>03_Detalle_Personal / 04_OPEX_Operativo</t>
        </is>
      </c>
      <c r="H17" s="15" t="inlineStr">
        <is>
          <t>Afecta ingresos, OPEX, capacidad de entrega y velocidad de escala.</t>
        </is>
      </c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5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5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5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5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5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5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5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5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5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5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5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5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5" t="n"/>
    </row>
    <row r="80">
      <c r="A80" s="16" t="n"/>
      <c r="B80" s="17" t="n"/>
      <c r="C80" s="17" t="n"/>
      <c r="D80" s="17" t="n"/>
      <c r="E80" s="17" t="n"/>
      <c r="F80" s="17" t="n"/>
      <c r="G80" s="17" t="n"/>
      <c r="H80" s="1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07" t="inlineStr">
        <is>
          <t>11 INV Resumen 4,2M</t>
        </is>
      </c>
      <c r="B1" s="108" t="str"/>
      <c r="C1" s="108" t="str"/>
      <c r="D1" s="109" t="str"/>
      <c r="E1" s="109" t="str"/>
      <c r="F1" s="109" t="str"/>
      <c r="G1" s="109" t="str"/>
      <c r="H1" s="110" t="str"/>
    </row>
    <row r="2">
      <c r="A2" s="111" t="inlineStr">
        <is>
          <t>Bloque separado de inversion acumulada y valor actual de referencia. No forma parte del motor operativo 2030.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Indicador</t>
        </is>
      </c>
      <c r="B5" s="115" t="inlineStr">
        <is>
          <t>Valor</t>
        </is>
      </c>
      <c r="C5" s="115" t="inlineStr">
        <is>
          <t>Unidad</t>
        </is>
      </c>
      <c r="D5" s="115" t="inlineStr">
        <is>
          <t>Lectura</t>
        </is>
      </c>
      <c r="E5" s="115" t="inlineStr">
        <is>
          <t>Fuente / soporte</t>
        </is>
      </c>
      <c r="F5" s="115" t="inlineStr">
        <is>
          <t>Notas</t>
        </is>
      </c>
      <c r="G5" s="14" t="n"/>
      <c r="H5" s="15" t="n"/>
    </row>
    <row r="6" ht="30" customHeight="1">
      <c r="A6" s="168" t="inlineStr">
        <is>
          <t>Valor actual de referencia</t>
        </is>
      </c>
      <c r="B6" s="169" t="n">
        <v>4216174.7</v>
      </c>
      <c r="C6" s="169" t="inlineStr">
        <is>
          <t>EUR</t>
        </is>
      </c>
      <c r="D6" s="169" t="inlineStr">
        <is>
          <t>Inversion historica acumulada, IP, producto, casos y relaciones</t>
        </is>
      </c>
      <c r="E6" s="169" t="inlineStr">
        <is>
          <t>Informe de inversion y producto / BP inversores</t>
        </is>
      </c>
      <c r="F6" s="169" t="inlineStr">
        <is>
          <t>Base de conversacion de valor actual, no DCF.</t>
        </is>
      </c>
      <c r="G6" s="140" t="n"/>
      <c r="H6" s="141" t="n"/>
    </row>
    <row r="7" ht="30" customHeight="1">
      <c r="A7" s="168" t="inlineStr">
        <is>
          <t>Total detalle familias</t>
        </is>
      </c>
      <c r="B7" s="169">
        <f>'12_INV_Familias'!C21</f>
        <v/>
      </c>
      <c r="C7" s="169" t="inlineStr">
        <is>
          <t>EUR</t>
        </is>
      </c>
      <c r="D7" s="169" t="inlineStr">
        <is>
          <t>Suma de la pestaña 12_INV_Familias</t>
        </is>
      </c>
      <c r="E7" s="169" t="inlineStr">
        <is>
          <t>12_INV_Familias</t>
        </is>
      </c>
      <c r="F7" s="169" t="inlineStr">
        <is>
          <t>Debe conciliar con la cifra defendida.</t>
        </is>
      </c>
      <c r="G7" s="140" t="n"/>
      <c r="H7" s="141" t="n"/>
    </row>
    <row r="8" ht="30" customHeight="1">
      <c r="A8" s="168" t="inlineStr">
        <is>
          <t>Diferencia conciliacion</t>
        </is>
      </c>
      <c r="B8" s="169">
        <f>B6-B7</f>
        <v/>
      </c>
      <c r="C8" s="169" t="inlineStr">
        <is>
          <t>EUR</t>
        </is>
      </c>
      <c r="D8" s="169" t="inlineStr">
        <is>
          <t>Valor de referencia menos detalle</t>
        </is>
      </c>
      <c r="E8" s="169" t="inlineStr">
        <is>
          <t>Control de conciliacion</t>
        </is>
      </c>
      <c r="F8" s="169" t="inlineStr">
        <is>
          <t>Debe ser cero salvo redondeos.</t>
        </is>
      </c>
      <c r="G8" s="140" t="n"/>
      <c r="H8" s="141" t="n"/>
    </row>
    <row r="9" ht="30" customHeight="1">
      <c r="A9" s="142" t="inlineStr">
        <is>
          <t>Criterio de valor</t>
        </is>
      </c>
      <c r="B9" s="140" t="inlineStr">
        <is>
          <t>Coste de construccion de activo</t>
        </is>
      </c>
      <c r="C9" s="140" t="inlineStr">
        <is>
          <t>texto</t>
        </is>
      </c>
      <c r="D9" s="140" t="inlineStr">
        <is>
          <t>Cost-to-build + producto + know-how + documentacion tecnica</t>
        </is>
      </c>
      <c r="E9" s="140" t="inlineStr">
        <is>
          <t>Documentacion EDRO/CUEVA</t>
        </is>
      </c>
      <c r="F9" s="140" t="inlineStr">
        <is>
          <t>No se presenta como tasacion independiente.</t>
        </is>
      </c>
      <c r="G9" s="140" t="n"/>
      <c r="H9" s="141" t="n"/>
    </row>
    <row r="10" ht="30" customHeight="1">
      <c r="A10" s="142" t="inlineStr">
        <is>
          <t>Separacion del modelo</t>
        </is>
      </c>
      <c r="B10" s="140" t="inlineStr">
        <is>
          <t>Bloque independiente</t>
        </is>
      </c>
      <c r="C10" s="140" t="inlineStr">
        <is>
          <t>texto</t>
        </is>
      </c>
      <c r="D10" s="140" t="inlineStr">
        <is>
          <t>Estas hojas no alimentan ingresos/OPEX/P&amp;L 2030</t>
        </is>
      </c>
      <c r="E10" s="140" t="inlineStr">
        <is>
          <t>Estructura separada</t>
        </is>
      </c>
      <c r="F10" s="140" t="inlineStr">
        <is>
          <t>Evita mezclar inversion acumulada con forecast.</t>
        </is>
      </c>
      <c r="G10" s="140" t="n"/>
      <c r="H10" s="141" t="n"/>
    </row>
    <row r="11" ht="30" customHeight="1">
      <c r="A11" s="142" t="str"/>
      <c r="B11" s="140" t="str"/>
      <c r="C11" s="140" t="str"/>
      <c r="D11" s="140" t="str"/>
      <c r="E11" s="140" t="str"/>
      <c r="F11" s="140" t="str"/>
      <c r="G11" s="140" t="n"/>
      <c r="H11" s="141" t="n"/>
    </row>
    <row r="12" ht="30" customHeight="1">
      <c r="A12" s="142" t="n"/>
      <c r="B12" s="140" t="n"/>
      <c r="C12" s="140" t="n"/>
      <c r="D12" s="140" t="n"/>
      <c r="E12" s="140" t="n"/>
      <c r="F12" s="140" t="n"/>
      <c r="G12" s="140" t="n"/>
      <c r="H12" s="141" t="n"/>
    </row>
    <row r="13" ht="30" customHeight="1">
      <c r="A13" s="143" t="inlineStr">
        <is>
          <t>Presupuestos externos y referencias tecnicas</t>
        </is>
      </c>
      <c r="B13" s="144" t="str"/>
      <c r="C13" s="144" t="str"/>
      <c r="D13" s="144" t="str"/>
      <c r="E13" s="144" t="str"/>
      <c r="F13" s="144" t="str"/>
      <c r="G13" s="144" t="str"/>
      <c r="H13" s="145" t="str"/>
    </row>
    <row r="14" ht="30" customHeight="1">
      <c r="A14" s="146" t="inlineStr">
        <is>
          <t>Referencia</t>
        </is>
      </c>
      <c r="B14" s="147" t="inlineStr">
        <is>
          <t>Importe</t>
        </is>
      </c>
      <c r="C14" s="147" t="inlineStr">
        <is>
          <t>Unidad</t>
        </is>
      </c>
      <c r="D14" s="147" t="inlineStr">
        <is>
          <t>Lectura</t>
        </is>
      </c>
      <c r="E14" s="147" t="inlineStr">
        <is>
          <t>Relacion con inversion 4,2M</t>
        </is>
      </c>
      <c r="F14" s="147" t="inlineStr">
        <is>
          <t>Uso correcto</t>
        </is>
      </c>
      <c r="G14" s="147" t="inlineStr">
        <is>
          <t>Fuente</t>
        </is>
      </c>
      <c r="H14" s="148" t="inlineStr">
        <is>
          <t>Notas</t>
        </is>
      </c>
    </row>
    <row r="15" ht="30" customHeight="1">
      <c r="A15" s="142" t="inlineStr">
        <is>
          <t>CDTI</t>
        </is>
      </c>
      <c r="B15" s="170" t="n">
        <v>990000</v>
      </c>
      <c r="C15" s="140" t="inlineStr">
        <is>
          <t>EUR</t>
        </is>
      </c>
      <c r="D15" s="140" t="inlineStr">
        <is>
          <t>Valida sistema fisico, DfMA, prototipos, ensayos y maquinaria</t>
        </is>
      </c>
      <c r="E15" s="140" t="inlineStr">
        <is>
          <t>Soporte tecnico externo superior a una parte del coste construido</t>
        </is>
      </c>
      <c r="F15" s="140" t="inlineStr">
        <is>
          <t>Referencia tecnica, sin importe a devolver</t>
        </is>
      </c>
      <c r="G15" s="140" t="inlineStr">
        <is>
          <t>Presupuesto/memoria CDTI</t>
        </is>
      </c>
      <c r="H15" s="141" t="inlineStr">
        <is>
          <t>CDTI no implica importe a devolver.</t>
        </is>
      </c>
    </row>
    <row r="16" ht="30" customHeight="1">
      <c r="A16" s="142" t="inlineStr">
        <is>
          <t>Cervera</t>
        </is>
      </c>
      <c r="B16" s="170" t="n">
        <v>840000</v>
      </c>
      <c r="C16" s="140" t="inlineStr">
        <is>
          <t>EUR</t>
        </is>
      </c>
      <c r="D16" s="140" t="inlineStr">
        <is>
          <t>Valida sistema digital 4.0, datos, software, IoT y fabricacion inteligente</t>
        </is>
      </c>
      <c r="E16" s="140" t="inlineStr">
        <is>
          <t>Soporte tecnico de software/datos y capa industrial</t>
        </is>
      </c>
      <c r="F16" s="140" t="inlineStr">
        <is>
          <t>Referencia tecnica</t>
        </is>
      </c>
      <c r="G16" s="140" t="inlineStr">
        <is>
          <t>Presupuesto Cervera</t>
        </is>
      </c>
      <c r="H16" s="141" t="inlineStr">
        <is>
          <t>Conecta con CEREBRO, DPP, POI, GIS y neuronas.</t>
        </is>
      </c>
    </row>
    <row r="17" ht="30" customHeight="1">
      <c r="A17" s="142" t="inlineStr">
        <is>
          <t>Tax Lease Leyton</t>
        </is>
      </c>
      <c r="B17" s="170" t="n">
        <v>2020000</v>
      </c>
      <c r="C17" s="140" t="inlineStr">
        <is>
          <t>EUR</t>
        </is>
      </c>
      <c r="D17" s="140" t="inlineStr">
        <is>
          <t>Valida placas modulares inteligentes y desarrollo asociado</t>
        </is>
      </c>
      <c r="E17" s="140" t="inlineStr">
        <is>
          <t>Referencia de alcance presupuestado frente a inversion defendida</t>
        </is>
      </c>
      <c r="F17" s="140" t="inlineStr">
        <is>
          <t>Referencia tecnica/fiscal documentada</t>
        </is>
      </c>
      <c r="G17" s="140" t="inlineStr">
        <is>
          <t>Tax Lease Leyton</t>
        </is>
      </c>
      <c r="H17" s="141" t="inlineStr">
        <is>
          <t>No se imputan ingresos no documentados.</t>
        </is>
      </c>
    </row>
    <row r="18" ht="30" customHeight="1">
      <c r="A18" s="142" t="inlineStr">
        <is>
          <t>Tax Lease Arcano / CEREBRO</t>
        </is>
      </c>
      <c r="B18" s="170" t="n">
        <v>5724400</v>
      </c>
      <c r="C18" s="140" t="inlineStr">
        <is>
          <t>EUR</t>
        </is>
      </c>
      <c r="D18" s="140" t="inlineStr">
        <is>
          <t>Sistema ciberfisico completo</t>
        </is>
      </c>
      <c r="E18" s="140" t="inlineStr">
        <is>
          <t>Presupuesto externo por encima de la inversion defendida</t>
        </is>
      </c>
      <c r="F18" s="140" t="inlineStr">
        <is>
          <t>Referencia de alcance</t>
        </is>
      </c>
      <c r="G18" s="140" t="inlineStr">
        <is>
          <t>Tax Lease Arcano</t>
        </is>
      </c>
      <c r="H18" s="141" t="inlineStr">
        <is>
          <t>Fabricacion, almacen, transporte, montaje, vida y comunidad.</t>
        </is>
      </c>
    </row>
    <row r="19" ht="30" customHeight="1">
      <c r="A19" s="142" t="inlineStr">
        <is>
          <t>CEREBRO por fases</t>
        </is>
      </c>
      <c r="B19" s="170" t="n">
        <v>6408402</v>
      </c>
      <c r="C19" s="140" t="inlineStr">
        <is>
          <t>EUR</t>
        </is>
      </c>
      <c r="D19" s="140" t="inlineStr">
        <is>
          <t>Matriz completa de paquetes tecnicos</t>
        </is>
      </c>
      <c r="E19" s="140" t="inlineStr">
        <is>
          <t>Mapa de alcance superado por productizacion actual</t>
        </is>
      </c>
      <c r="F19" s="140" t="inlineStr">
        <is>
          <t>Referencia de paquetes</t>
        </is>
      </c>
      <c r="G19" s="140" t="inlineStr">
        <is>
          <t>CEREBRO por fases</t>
        </is>
      </c>
      <c r="H19" s="141" t="inlineStr">
        <is>
          <t>Sirve para conectar inversion a paquetes de producto.</t>
        </is>
      </c>
    </row>
    <row r="20" ht="30" customHeight="1">
      <c r="A20" s="168" t="inlineStr">
        <is>
          <t>Valor de referencia CUEVA</t>
        </is>
      </c>
      <c r="B20" s="169" t="n">
        <v>4216174.7</v>
      </c>
      <c r="C20" s="169" t="inlineStr">
        <is>
          <t>EUR</t>
        </is>
      </c>
      <c r="D20" s="169" t="inlineStr">
        <is>
          <t>Activo ya construido y consistente</t>
        </is>
      </c>
      <c r="E20" s="169" t="inlineStr">
        <is>
          <t>Cifra base de la compañia hasta la fecha</t>
        </is>
      </c>
      <c r="F20" s="169" t="inlineStr">
        <is>
          <t>Base de negociacion</t>
        </is>
      </c>
      <c r="G20" s="169" t="inlineStr">
        <is>
          <t>Informe inversion/producto</t>
        </is>
      </c>
      <c r="H20" s="171" t="inlineStr">
        <is>
          <t>Incluye inversion acumulada y productizacion.</t>
        </is>
      </c>
    </row>
    <row r="21">
      <c r="A21" s="13" t="n"/>
      <c r="B21" s="14" t="n"/>
      <c r="C21" s="14" t="n"/>
      <c r="D21" s="14" t="n"/>
      <c r="E21" s="14" t="n"/>
      <c r="F21" s="14" t="n"/>
      <c r="G21" s="14" t="n"/>
      <c r="H21" s="15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6" t="n"/>
      <c r="B60" s="17" t="n"/>
      <c r="C60" s="17" t="n"/>
      <c r="D60" s="17" t="n"/>
      <c r="E60" s="17" t="n"/>
      <c r="F60" s="17" t="n"/>
      <c r="G60" s="17" t="n"/>
      <c r="H60" s="18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6" customWidth="1" min="5" max="5"/>
    <col width="40" customWidth="1" min="6" max="6"/>
    <col width="40" customWidth="1" min="7" max="7"/>
    <col width="40" customWidth="1" min="8" max="8"/>
  </cols>
  <sheetData>
    <row r="1">
      <c r="A1" s="107" t="inlineStr">
        <is>
          <t>12 INV Familias tecnicas</t>
        </is>
      </c>
      <c r="B1" s="108" t="str"/>
      <c r="C1" s="108" t="str"/>
      <c r="D1" s="108" t="str"/>
      <c r="E1" s="108" t="str"/>
      <c r="F1" s="109" t="str"/>
      <c r="G1" s="109" t="str"/>
      <c r="H1" s="110" t="str"/>
    </row>
    <row r="2">
      <c r="A2" s="111" t="inlineStr">
        <is>
          <t>Desglose de los 4.216.174,70 EUR por familias tecnicas y lectura de producto.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Familia</t>
        </is>
      </c>
      <c r="B5" s="115" t="inlineStr">
        <is>
          <t>Periodo</t>
        </is>
      </c>
      <c r="C5" s="115" t="inlineStr">
        <is>
          <t>Inversion EUR</t>
        </is>
      </c>
      <c r="D5" s="115" t="inlineStr">
        <is>
          <t>% total</t>
        </is>
      </c>
      <c r="E5" s="115" t="inlineStr">
        <is>
          <t>TRL actual</t>
        </is>
      </c>
      <c r="F5" s="115" t="inlineStr">
        <is>
          <t>Producto / paquete asociado</t>
        </is>
      </c>
      <c r="G5" s="115" t="inlineStr">
        <is>
          <t>Lectura de producto</t>
        </is>
      </c>
      <c r="H5" s="129" t="inlineStr">
        <is>
          <t>Fuente / nota</t>
        </is>
      </c>
    </row>
    <row r="6" ht="34" customHeight="1">
      <c r="A6" s="142" t="inlineStr">
        <is>
          <t>Fundacion tecnica</t>
        </is>
      </c>
      <c r="B6" s="140" t="inlineStr">
        <is>
          <t>2012/13-2018</t>
        </is>
      </c>
      <c r="C6" s="170" t="n">
        <v>425000</v>
      </c>
      <c r="D6" s="172">
        <f>C6/$C$21</f>
        <v/>
      </c>
      <c r="E6" s="140" t="inlineStr">
        <is>
          <t>8/9</t>
        </is>
      </c>
      <c r="F6" s="140" t="inlineStr">
        <is>
          <t>Arquitectura fisica, mecanica, geometria base</t>
        </is>
      </c>
      <c r="G6" s="140" t="inlineStr">
        <is>
          <t>CUEVA OS no nace como software aislado: nace sobre una arquitectura fisica y una logica constructiva propia.</t>
        </is>
      </c>
      <c r="H6" s="141" t="inlineStr">
        <is>
          <t>Asignacion de etapa inicial.</t>
        </is>
      </c>
    </row>
    <row r="7" ht="34" customHeight="1">
      <c r="A7" s="142" t="inlineStr">
        <is>
          <t>Sistema fisico + DfMA</t>
        </is>
      </c>
      <c r="B7" s="140" t="inlineStr">
        <is>
          <t>2019-2022/23</t>
        </is>
      </c>
      <c r="C7" s="170" t="n">
        <v>273326</v>
      </c>
      <c r="D7" s="172">
        <f>C7/$C$21</f>
        <v/>
      </c>
      <c r="E7" s="140" t="inlineStr">
        <is>
          <t>8/9</t>
        </is>
      </c>
      <c r="F7" s="140" t="inlineStr">
        <is>
          <t>Factory Core / identidad pieza-activo</t>
        </is>
      </c>
      <c r="G7" s="140" t="inlineStr">
        <is>
          <t>Base de la identidad pieza-activo; sin ella no hay POI/DPP verificable.</t>
        </is>
      </c>
      <c r="H7" s="141" t="inlineStr">
        <is>
          <t>CDTI / desarrollo industrial.</t>
        </is>
      </c>
    </row>
    <row r="8" ht="34" customHeight="1">
      <c r="A8" s="142" t="inlineStr">
        <is>
          <t>CEREBRO + software/datos</t>
        </is>
      </c>
      <c r="B8" s="140" t="inlineStr">
        <is>
          <t>2019-2022/23</t>
        </is>
      </c>
      <c r="C8" s="170" t="n">
        <v>375000</v>
      </c>
      <c r="D8" s="172">
        <f>C8/$C$21</f>
        <v/>
      </c>
      <c r="E8" s="140" t="inlineStr">
        <is>
          <t>8/9</t>
        </is>
      </c>
      <c r="F8" s="140" t="inlineStr">
        <is>
          <t>Designer, Project Room, DPP, POI</t>
        </is>
      </c>
      <c r="G8" s="140" t="inlineStr">
        <is>
          <t>Columna vertebral: Designer, Project Room, DPP, POI y verticales dependen de este nucleo.</t>
        </is>
      </c>
      <c r="H8" s="141" t="inlineStr">
        <is>
          <t>Tax Lease / CEREBRO.</t>
        </is>
      </c>
    </row>
    <row r="9" ht="34" customHeight="1">
      <c r="A9" s="142" t="inlineStr">
        <is>
          <t>IoT + comunicaciones</t>
        </is>
      </c>
      <c r="B9" s="140" t="inlineStr">
        <is>
          <t>2019-2022/23</t>
        </is>
      </c>
      <c r="C9" s="170" t="n">
        <v>180000</v>
      </c>
      <c r="D9" s="172">
        <f>C9/$C$21</f>
        <v/>
      </c>
      <c r="E9" s="140" t="inlineStr">
        <is>
          <t>8/9</t>
        </is>
      </c>
      <c r="F9" s="140" t="inlineStr">
        <is>
          <t>Neuronas, lectura, evidencias</t>
        </is>
      </c>
      <c r="G9" s="140" t="inlineStr">
        <is>
          <t>Bisagra entre pieza fisica, fabrica, obra y evidencia digital.</t>
        </is>
      </c>
      <c r="H9" s="141" t="inlineStr">
        <is>
          <t>Cervera / CEREBRO.</t>
        </is>
      </c>
    </row>
    <row r="10" ht="34" customHeight="1">
      <c r="A10" s="142" t="inlineStr">
        <is>
          <t>Operativa industrial</t>
        </is>
      </c>
      <c r="B10" s="140" t="inlineStr">
        <is>
          <t>2019-2022/23</t>
        </is>
      </c>
      <c r="C10" s="170" t="n">
        <v>794759</v>
      </c>
      <c r="D10" s="172">
        <f>C10/$C$21</f>
        <v/>
      </c>
      <c r="E10" s="140" t="inlineStr">
        <is>
          <t>8/9</t>
        </is>
      </c>
      <c r="F10" s="140" t="inlineStr">
        <is>
          <t>Factory Core, Factory Flow, Site Proof</t>
        </is>
      </c>
      <c r="G10" s="140" t="inlineStr">
        <is>
          <t>Base de la Carta de Servicios y de la operacion verificable.</t>
        </is>
      </c>
      <c r="H10" s="141" t="inlineStr">
        <is>
          <t>Base EDRO con operativa.</t>
        </is>
      </c>
    </row>
    <row r="11" ht="34" customHeight="1">
      <c r="A11" s="142" t="inlineStr">
        <is>
          <t>Ingeniero virtual</t>
        </is>
      </c>
      <c r="B11" s="140" t="inlineStr">
        <is>
          <t>2021-2023</t>
        </is>
      </c>
      <c r="C11" s="170" t="n">
        <v>261965</v>
      </c>
      <c r="D11" s="172">
        <f>C11/$C$21</f>
        <v/>
      </c>
      <c r="E11" s="140" t="inlineStr">
        <is>
          <t>8/9</t>
        </is>
      </c>
      <c r="F11" s="140" t="inlineStr">
        <is>
          <t>Designer / vivienda generativa / API</t>
        </is>
      </c>
      <c r="G11" s="140" t="inlineStr">
        <is>
          <t>Copiloto tecnico: CAD/BIM/calculo, heuristica, predictivos y automatizacion.</t>
        </is>
      </c>
      <c r="H11" s="141" t="inlineStr">
        <is>
          <t>CEREBRO / software.</t>
        </is>
      </c>
    </row>
    <row r="12" ht="34" customHeight="1">
      <c r="A12" s="142" t="inlineStr">
        <is>
          <t>Vida + comunidad</t>
        </is>
      </c>
      <c r="B12" s="140" t="inlineStr">
        <is>
          <t>2021-2023</t>
        </is>
      </c>
      <c r="C12" s="170" t="n">
        <v>236125</v>
      </c>
      <c r="D12" s="172">
        <f>C12/$C$21</f>
        <v/>
      </c>
      <c r="E12" s="140" t="inlineStr">
        <is>
          <t>8/9</t>
        </is>
      </c>
      <c r="F12" s="140" t="inlineStr">
        <is>
          <t>Market OS, postventa, circularidad</t>
        </is>
      </c>
      <c r="G12" s="140" t="inlineStr">
        <is>
          <t>Postventa, circularidad y economia de plataforma.</t>
        </is>
      </c>
      <c r="H12" s="141" t="inlineStr">
        <is>
          <t>CEREBRO por fases.</t>
        </is>
      </c>
    </row>
    <row r="13" ht="34" customHeight="1">
      <c r="A13" s="142" t="inlineStr">
        <is>
          <t>DPP / pasaporte digital</t>
        </is>
      </c>
      <c r="B13" s="140" t="inlineStr">
        <is>
          <t>2023-act.</t>
        </is>
      </c>
      <c r="C13" s="170" t="n">
        <v>220000</v>
      </c>
      <c r="D13" s="172">
        <f>C13/$C$21</f>
        <v/>
      </c>
      <c r="E13" s="140" t="inlineStr">
        <is>
          <t>8/9</t>
        </is>
      </c>
      <c r="F13" s="140" t="inlineStr">
        <is>
          <t>DPP / Carpeta Madre</t>
        </is>
      </c>
      <c r="G13" s="140" t="inlineStr">
        <is>
          <t>El producto fisico pasa a tener memoria, estado y trazabilidad explotable.</t>
        </is>
      </c>
      <c r="H13" s="141" t="inlineStr">
        <is>
          <t>Productizacion CUEVA OS.</t>
        </is>
      </c>
    </row>
    <row r="14" ht="34" customHeight="1">
      <c r="A14" s="142" t="inlineStr">
        <is>
          <t>POI / prueba de instalacion</t>
        </is>
      </c>
      <c r="B14" s="140" t="inlineStr">
        <is>
          <t>2023-act.</t>
        </is>
      </c>
      <c r="C14" s="170" t="n">
        <v>190000</v>
      </c>
      <c r="D14" s="172">
        <f>C14/$C$21</f>
        <v/>
      </c>
      <c r="E14" s="140" t="inlineStr">
        <is>
          <t>8/9</t>
        </is>
      </c>
      <c r="F14" s="140" t="inlineStr">
        <is>
          <t>POI Evidence Pack / Site Proof</t>
        </is>
      </c>
      <c r="G14" s="140" t="inlineStr">
        <is>
          <t>Obra y montaje convertidos en dato contractual verificable.</t>
        </is>
      </c>
      <c r="H14" s="141" t="inlineStr">
        <is>
          <t>Productizacion CUEVA OS.</t>
        </is>
      </c>
    </row>
    <row r="15" ht="34" customHeight="1">
      <c r="A15" s="142" t="inlineStr">
        <is>
          <t>Activos digitales / tokenizacion</t>
        </is>
      </c>
      <c r="B15" s="140" t="inlineStr">
        <is>
          <t>2023-act.</t>
        </is>
      </c>
      <c r="C15" s="170" t="n">
        <v>260000</v>
      </c>
      <c r="D15" s="172">
        <f>C15/$C$21</f>
        <v/>
      </c>
      <c r="E15" s="140" t="inlineStr">
        <is>
          <t>6/7</t>
        </is>
      </c>
      <c r="F15" s="140" t="inlineStr">
        <is>
          <t>Financial Layer / activos digitales</t>
        </is>
      </c>
      <c r="G15" s="140" t="inlineStr">
        <is>
          <t>Extension hacia financiacion, propiedad digital y economia de plataforma.</t>
        </is>
      </c>
      <c r="H15" s="141" t="inlineStr">
        <is>
          <t>White paper blockchain/NFT.</t>
        </is>
      </c>
    </row>
    <row r="16" ht="34" customHeight="1">
      <c r="A16" s="142" t="inlineStr">
        <is>
          <t>Designer + vivienda generativa</t>
        </is>
      </c>
      <c r="B16" s="140" t="inlineStr">
        <is>
          <t>2023-act.</t>
        </is>
      </c>
      <c r="C16" s="170" t="n">
        <v>255000</v>
      </c>
      <c r="D16" s="172">
        <f>C16/$C$21</f>
        <v/>
      </c>
      <c r="E16" s="140" t="inlineStr">
        <is>
          <t>8/9</t>
        </is>
      </c>
      <c r="F16" s="140" t="inlineStr">
        <is>
          <t>CUEVA Designer</t>
        </is>
      </c>
      <c r="G16" s="140" t="inlineStr">
        <is>
          <t>Generacion automatizada de alternativas de proyecto via API.</t>
        </is>
      </c>
      <c r="H16" s="141" t="inlineStr">
        <is>
          <t>Documento vivienda generativa.</t>
        </is>
      </c>
    </row>
    <row r="17" ht="34" customHeight="1">
      <c r="A17" s="142" t="inlineStr">
        <is>
          <t>GIS + capa territorial</t>
        </is>
      </c>
      <c r="B17" s="140" t="inlineStr">
        <is>
          <t>2023-act.</t>
        </is>
      </c>
      <c r="C17" s="170" t="n">
        <v>150000</v>
      </c>
      <c r="D17" s="172">
        <f>C17/$C$21</f>
        <v/>
      </c>
      <c r="E17" s="140" t="inlineStr">
        <is>
          <t>8/9</t>
        </is>
      </c>
      <c r="F17" s="140" t="inlineStr">
        <is>
          <t>GIS / red de activos</t>
        </is>
      </c>
      <c r="G17" s="140" t="inlineStr">
        <is>
          <t>De proyecto aislado a red de activos geolocalizados.</t>
        </is>
      </c>
      <c r="H17" s="141" t="inlineStr">
        <is>
          <t>Productizacion CUEVA OS.</t>
        </is>
      </c>
    </row>
    <row r="18" ht="34" customHeight="1">
      <c r="A18" s="142" t="inlineStr">
        <is>
          <t>Manager + Project Room</t>
        </is>
      </c>
      <c r="B18" s="140" t="inlineStr">
        <is>
          <t>2023-act.</t>
        </is>
      </c>
      <c r="C18" s="170" t="n">
        <v>210000</v>
      </c>
      <c r="D18" s="172">
        <f>C18/$C$21</f>
        <v/>
      </c>
      <c r="E18" s="140" t="inlineStr">
        <is>
          <t>8/9</t>
        </is>
      </c>
      <c r="F18" s="140" t="inlineStr">
        <is>
          <t>CUEVA Manager / Project Room</t>
        </is>
      </c>
      <c r="G18" s="140" t="inlineStr">
        <is>
          <t>Punto de entrada para actores externos; lectura SaaS operativa.</t>
        </is>
      </c>
      <c r="H18" s="141" t="inlineStr">
        <is>
          <t>Productizacion CUEVA OS.</t>
        </is>
      </c>
    </row>
    <row r="19" ht="34" customHeight="1">
      <c r="A19" s="142" t="inlineStr">
        <is>
          <t>Neuronas + apps de lectura</t>
        </is>
      </c>
      <c r="B19" s="140" t="inlineStr">
        <is>
          <t>2023-act.</t>
        </is>
      </c>
      <c r="C19" s="170" t="n">
        <v>170000</v>
      </c>
      <c r="D19" s="172">
        <f>C19/$C$21</f>
        <v/>
      </c>
      <c r="E19" s="140" t="inlineStr">
        <is>
          <t>8/9</t>
        </is>
      </c>
      <c r="F19" s="140" t="inlineStr">
        <is>
          <t>Apps lectura / neuronas fijas y portatiles</t>
        </is>
      </c>
      <c r="G19" s="140" t="inlineStr">
        <is>
          <t>Sin captura fiable no hay evidencia fiable.</t>
        </is>
      </c>
      <c r="H19" s="141" t="inlineStr">
        <is>
          <t>Software, comunicaciones y campo.</t>
        </is>
      </c>
    </row>
    <row r="20" ht="34" customHeight="1">
      <c r="A20" s="142" t="inlineStr">
        <is>
          <t>Market OS + activos comerciales</t>
        </is>
      </c>
      <c r="B20" s="140" t="inlineStr">
        <is>
          <t>2023-act.</t>
        </is>
      </c>
      <c r="C20" s="170" t="n">
        <v>214999.7</v>
      </c>
      <c r="D20" s="172">
        <f>C20/$C$21</f>
        <v/>
      </c>
      <c r="E20" s="140" t="inlineStr">
        <is>
          <t>8/9</t>
        </is>
      </c>
      <c r="F20" s="140" t="inlineStr">
        <is>
          <t>Market OS / web / marca / materiales comerciales</t>
        </is>
      </c>
      <c r="G20" s="140" t="inlineStr">
        <is>
          <t>Convierte la inversion tecnica en lenguaje de mercado.</t>
        </is>
      </c>
      <c r="H20" s="141" t="inlineStr">
        <is>
          <t>Marketing, marca y documentacion inversor.</t>
        </is>
      </c>
    </row>
    <row r="21" ht="34" customHeight="1">
      <c r="A21" s="168" t="inlineStr">
        <is>
          <t>TOTAL INVERSION 4,2M</t>
        </is>
      </c>
      <c r="B21" s="169" t="str"/>
      <c r="C21" s="169">
        <f>SUM(C6:C20)</f>
        <v/>
      </c>
      <c r="D21" s="169">
        <f>SUM(D6:D20)</f>
        <v/>
      </c>
      <c r="E21" s="169" t="n"/>
      <c r="F21" s="169" t="n"/>
      <c r="G21" s="169" t="n"/>
      <c r="H21" s="171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5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5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5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5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5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5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5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5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5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5" t="n"/>
    </row>
    <row r="70">
      <c r="A70" s="16" t="n"/>
      <c r="B70" s="17" t="n"/>
      <c r="C70" s="17" t="n"/>
      <c r="D70" s="17" t="n"/>
      <c r="E70" s="17" t="n"/>
      <c r="F70" s="17" t="n"/>
      <c r="G70" s="17" t="n"/>
      <c r="H70" s="1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07" t="inlineStr">
        <is>
          <t>13 300K Resumen</t>
        </is>
      </c>
      <c r="B1" s="108" t="str"/>
      <c r="C1" s="108" t="str"/>
      <c r="D1" s="109" t="str"/>
      <c r="E1" s="109" t="str"/>
      <c r="F1" s="109" t="str"/>
      <c r="G1" s="109" t="str"/>
      <c r="H1" s="110" t="str"/>
    </row>
    <row r="2">
      <c r="A2" s="111" t="inlineStr">
        <is>
          <t>Plan 26/27 de 300K separado del plan 2030. Sirve para reducir riesgo, no para mezclarlo con el scale case.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Indicador</t>
        </is>
      </c>
      <c r="B5" s="115" t="inlineStr">
        <is>
          <t>Valor</t>
        </is>
      </c>
      <c r="C5" s="115" t="inlineStr">
        <is>
          <t>Unidad</t>
        </is>
      </c>
      <c r="D5" s="115" t="inlineStr">
        <is>
          <t>Lectura</t>
        </is>
      </c>
      <c r="E5" s="115" t="inlineStr">
        <is>
          <t>Hoja soporte</t>
        </is>
      </c>
      <c r="F5" s="115" t="inlineStr">
        <is>
          <t>Gate / criterio</t>
        </is>
      </c>
      <c r="G5" s="14" t="n"/>
      <c r="H5" s="15" t="n"/>
    </row>
    <row r="6" ht="32" customHeight="1">
      <c r="A6" s="168" t="inlineStr">
        <is>
          <t>Capital plan 26/27</t>
        </is>
      </c>
      <c r="B6" s="169" t="n">
        <v>300000</v>
      </c>
      <c r="C6" s="169" t="inlineStr">
        <is>
          <t>EUR</t>
        </is>
      </c>
      <c r="D6" s="169" t="inlineStr">
        <is>
          <t>Financia producto, equipo, Hub Valeriano y salida comercial</t>
        </is>
      </c>
      <c r="E6" s="169" t="inlineStr">
        <is>
          <t>14_300K_Uso_Fondos</t>
        </is>
      </c>
      <c r="F6" s="169" t="inlineStr">
        <is>
          <t>Desembolso por gates.</t>
        </is>
      </c>
      <c r="G6" s="140" t="n"/>
      <c r="H6" s="141" t="n"/>
    </row>
    <row r="7" ht="32" customHeight="1">
      <c r="A7" s="168" t="inlineStr">
        <is>
          <t>Uso de fondos detallado</t>
        </is>
      </c>
      <c r="B7" s="169">
        <f>'14_300K_Uso_Fondos'!B12</f>
        <v/>
      </c>
      <c r="C7" s="169" t="inlineStr">
        <is>
          <t>EUR</t>
        </is>
      </c>
      <c r="D7" s="169" t="inlineStr">
        <is>
          <t>Suma de bloques del plan</t>
        </is>
      </c>
      <c r="E7" s="169" t="inlineStr">
        <is>
          <t>14_300K_Uso_Fondos</t>
        </is>
      </c>
      <c r="F7" s="169" t="inlineStr">
        <is>
          <t>Debe sumar 300K.</t>
        </is>
      </c>
      <c r="G7" s="140" t="n"/>
      <c r="H7" s="141" t="n"/>
    </row>
    <row r="8" ht="32" customHeight="1">
      <c r="A8" s="142" t="inlineStr">
        <is>
          <t>Revenue 2027 management</t>
        </is>
      </c>
      <c r="B8" s="170" t="n">
        <v>1670000</v>
      </c>
      <c r="C8" s="140" t="inlineStr">
        <is>
          <t>EUR</t>
        </is>
      </c>
      <c r="D8" s="140" t="inlineStr">
        <is>
          <t>Pipeline base 2027 ajustado</t>
        </is>
      </c>
      <c r="E8" s="140" t="inlineStr">
        <is>
          <t>15_300K_Pipeline_2027</t>
        </is>
      </c>
      <c r="F8" s="140" t="inlineStr">
        <is>
          <t>Reconocer solo con contrato/cobro/m2 verificado.</t>
        </is>
      </c>
      <c r="G8" s="140" t="n"/>
      <c r="H8" s="141" t="n"/>
    </row>
    <row r="9" ht="32" customHeight="1">
      <c r="A9" s="142" t="inlineStr">
        <is>
          <t>Revenue 2027 ponderado</t>
        </is>
      </c>
      <c r="B9" s="170" t="n">
        <v>1104000</v>
      </c>
      <c r="C9" s="140" t="inlineStr">
        <is>
          <t>EUR</t>
        </is>
      </c>
      <c r="D9" s="140" t="inlineStr">
        <is>
          <t>Lectura risk-adjusted</t>
        </is>
      </c>
      <c r="E9" s="140" t="inlineStr">
        <is>
          <t>15_300K_Pipeline_2027</t>
        </is>
      </c>
      <c r="F9" s="140" t="inlineStr">
        <is>
          <t>Probabilidad por proyecto.</t>
        </is>
      </c>
      <c r="G9" s="140" t="n"/>
      <c r="H9" s="141" t="n"/>
    </row>
    <row r="10" ht="32" customHeight="1">
      <c r="A10" s="142" t="inlineStr">
        <is>
          <t>EBITDA 2027 management</t>
        </is>
      </c>
      <c r="B10" s="170" t="n">
        <v>313999</v>
      </c>
      <c r="C10" s="140" t="inlineStr">
        <is>
          <t>EUR</t>
        </is>
      </c>
      <c r="D10" s="140" t="inlineStr">
        <is>
          <t>Contribucion por linea menos OPEX del plan 300K</t>
        </is>
      </c>
      <c r="E10" s="140" t="inlineStr">
        <is>
          <t>Modelo financiero base</t>
        </is>
      </c>
      <c r="F10" s="140" t="inlineStr">
        <is>
          <t>Controlar contratacion y caja.</t>
        </is>
      </c>
      <c r="G10" s="140" t="n"/>
      <c r="H10" s="141" t="n"/>
    </row>
    <row r="11" ht="32" customHeight="1">
      <c r="A11" s="142" t="inlineStr">
        <is>
          <t>EBITDA 2027 ponderado</t>
        </is>
      </c>
      <c r="B11" s="170" t="n">
        <v>11039</v>
      </c>
      <c r="C11" s="140" t="inlineStr">
        <is>
          <t>EUR</t>
        </is>
      </c>
      <c r="D11" s="140" t="inlineStr">
        <is>
          <t>Lectura prudente del EBITDA</t>
        </is>
      </c>
      <c r="E11" s="140" t="inlineStr">
        <is>
          <t>Modelo financiero base</t>
        </is>
      </c>
      <c r="F11" s="140" t="inlineStr">
        <is>
          <t>Proteger con gates.</t>
        </is>
      </c>
      <c r="G11" s="140" t="n"/>
      <c r="H11" s="141" t="n"/>
    </row>
    <row r="12" ht="32" customHeight="1">
      <c r="A12" s="142" t="inlineStr">
        <is>
          <t>Caja final management</t>
        </is>
      </c>
      <c r="B12" s="170" t="n">
        <v>327599</v>
      </c>
      <c r="C12" s="140" t="inlineStr">
        <is>
          <t>EUR</t>
        </is>
      </c>
      <c r="D12" s="140" t="inlineStr">
        <is>
          <t>Caja al cierre de 2027</t>
        </is>
      </c>
      <c r="E12" s="140" t="inlineStr">
        <is>
          <t>Modelo financiero base</t>
        </is>
      </c>
      <c r="F12" s="140" t="inlineStr">
        <is>
          <t>Cobros por hitos.</t>
        </is>
      </c>
      <c r="G12" s="140" t="n"/>
      <c r="H12" s="141" t="n"/>
    </row>
    <row r="13" ht="32" customHeight="1">
      <c r="A13" s="142" t="inlineStr">
        <is>
          <t>Caja final ponderada</t>
        </is>
      </c>
      <c r="B13" s="170" t="n">
        <v>24639</v>
      </c>
      <c r="C13" s="140" t="inlineStr">
        <is>
          <t>EUR</t>
        </is>
      </c>
      <c r="D13" s="140" t="inlineStr">
        <is>
          <t>Lectura prudente de caja</t>
        </is>
      </c>
      <c r="E13" s="140" t="inlineStr">
        <is>
          <t>Modelo financiero base</t>
        </is>
      </c>
      <c r="F13" s="140" t="inlineStr">
        <is>
          <t>No activar coste sin evidencia.</t>
        </is>
      </c>
      <c r="G13" s="140" t="n"/>
      <c r="H13" s="141" t="n"/>
    </row>
    <row r="14" ht="32" customHeight="1">
      <c r="A14" s="142" t="inlineStr">
        <is>
          <t>m2 plan minimo</t>
        </is>
      </c>
      <c r="B14" s="173" t="n">
        <v>52000</v>
      </c>
      <c r="C14" s="140" t="inlineStr">
        <is>
          <t>m2</t>
        </is>
      </c>
      <c r="D14" s="140" t="inlineStr">
        <is>
          <t>m2 ejecutados elegibles del plan 300K</t>
        </is>
      </c>
      <c r="E14" s="140" t="inlineStr">
        <is>
          <t>16_300K_Puente_Escala</t>
        </is>
      </c>
      <c r="F14" s="140" t="inlineStr">
        <is>
          <t>Base de fee fabricante + montaje.</t>
        </is>
      </c>
      <c r="G14" s="140" t="n"/>
      <c r="H14" s="141" t="n"/>
    </row>
    <row r="15" ht="32" customHeight="1">
      <c r="A15" s="142" t="inlineStr">
        <is>
          <t>Regla de separacion</t>
        </is>
      </c>
      <c r="B15" s="140" t="inlineStr">
        <is>
          <t>Independiente del scale case</t>
        </is>
      </c>
      <c r="C15" s="140" t="inlineStr">
        <is>
          <t>texto</t>
        </is>
      </c>
      <c r="D15" s="140" t="inlineStr">
        <is>
          <t>El 300K activa reduccion de riesgo y prueba comercial; el plan 2030 es otra capa condicionada.</t>
        </is>
      </c>
      <c r="E15" s="140" t="inlineStr">
        <is>
          <t>Estructura separada</t>
        </is>
      </c>
      <c r="F15" s="140" t="inlineStr">
        <is>
          <t>No mezclar con OPEX/ingresos 2030.</t>
        </is>
      </c>
      <c r="G15" s="140" t="n"/>
      <c r="H15" s="141" t="n"/>
    </row>
    <row r="16" ht="32" customHeight="1">
      <c r="A16" s="142" t="n"/>
      <c r="B16" s="140" t="n"/>
      <c r="C16" s="140" t="n"/>
      <c r="D16" s="140" t="n"/>
      <c r="E16" s="140" t="n"/>
      <c r="F16" s="140" t="n"/>
      <c r="G16" s="140" t="n"/>
      <c r="H16" s="141" t="n"/>
    </row>
    <row r="17" ht="32" customHeight="1">
      <c r="A17" s="142" t="n"/>
      <c r="B17" s="140" t="n"/>
      <c r="C17" s="140" t="n"/>
      <c r="D17" s="140" t="n"/>
      <c r="E17" s="140" t="n"/>
      <c r="F17" s="140" t="n"/>
      <c r="G17" s="140" t="n"/>
      <c r="H17" s="141" t="n"/>
    </row>
    <row r="18" ht="32" customHeight="1">
      <c r="A18" s="143" t="inlineStr">
        <is>
          <t>Lectura ejecutiva del 300K</t>
        </is>
      </c>
      <c r="B18" s="144" t="str"/>
      <c r="C18" s="144" t="str"/>
      <c r="D18" s="144" t="str"/>
      <c r="E18" s="144" t="str"/>
      <c r="F18" s="144" t="str"/>
      <c r="G18" s="144" t="str"/>
      <c r="H18" s="145" t="str"/>
    </row>
    <row r="19" ht="32" customHeight="1">
      <c r="A19" s="153" t="inlineStr">
        <is>
          <t>Que activa</t>
        </is>
      </c>
      <c r="B19" s="140" t="inlineStr">
        <is>
          <t>Continuidad, producto vendible, Hub Valeriano, primeras pruebas de red, carpeta documental y control de caja.</t>
        </is>
      </c>
      <c r="C19" s="140" t="str"/>
      <c r="D19" s="140" t="str"/>
      <c r="E19" s="140" t="str"/>
      <c r="F19" s="140" t="str"/>
      <c r="G19" s="140" t="str"/>
      <c r="H19" s="141" t="str"/>
    </row>
    <row r="20" ht="32" customHeight="1">
      <c r="A20" s="153" t="inlineStr">
        <is>
          <t>Que demuestra</t>
        </is>
      </c>
      <c r="B20" s="140" t="inlineStr">
        <is>
          <t>Contratos, cobros, m2 verificados, casos POI/DPP, partner piloto y margen por linea.</t>
        </is>
      </c>
      <c r="C20" s="140" t="str"/>
      <c r="D20" s="140" t="str"/>
      <c r="E20" s="140" t="str"/>
      <c r="F20" s="140" t="str"/>
      <c r="G20" s="140" t="str"/>
      <c r="H20" s="141" t="str"/>
    </row>
    <row r="21" ht="32" customHeight="1">
      <c r="A21" s="153" t="inlineStr">
        <is>
          <t>Alcance</t>
        </is>
      </c>
      <c r="B21" s="140" t="inlineStr">
        <is>
          <t>No cubre el scale case 2030 completo ni la estructura de crecimiento acelerado.</t>
        </is>
      </c>
      <c r="C21" s="140" t="str"/>
      <c r="D21" s="140" t="str"/>
      <c r="E21" s="140" t="str"/>
      <c r="F21" s="140" t="str"/>
      <c r="G21" s="140" t="str"/>
      <c r="H21" s="141" t="str"/>
    </row>
    <row r="22" ht="32" customHeight="1">
      <c r="A22" s="153" t="inlineStr">
        <is>
          <t>Criterio de avance</t>
        </is>
      </c>
      <c r="B22" s="140" t="inlineStr">
        <is>
          <t>Liberar coste solo por gates: contrato, anticipo, alcance, m2 verificado, POI/DPP aceptado y soporte operativo.</t>
        </is>
      </c>
      <c r="C22" s="140" t="str"/>
      <c r="D22" s="140" t="str"/>
      <c r="E22" s="140" t="str"/>
      <c r="F22" s="140" t="str"/>
      <c r="G22" s="140" t="str"/>
      <c r="H22" s="141" t="str"/>
    </row>
    <row r="23" ht="32" customHeight="1">
      <c r="A23" s="142" t="str"/>
      <c r="B23" s="140" t="str"/>
      <c r="C23" s="140" t="str"/>
      <c r="D23" s="140" t="str"/>
      <c r="E23" s="140" t="str"/>
      <c r="F23" s="140" t="str"/>
      <c r="G23" s="140" t="str"/>
      <c r="H23" s="141" t="str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6" t="n"/>
      <c r="B60" s="17" t="n"/>
      <c r="C60" s="17" t="n"/>
      <c r="D60" s="17" t="n"/>
      <c r="E60" s="17" t="n"/>
      <c r="F60" s="17" t="n"/>
      <c r="G60" s="17" t="n"/>
      <c r="H60" s="1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40" customWidth="1" min="4" max="4"/>
    <col width="40" customWidth="1" min="5" max="5"/>
    <col width="40" customWidth="1" min="6" max="6"/>
    <col width="40" customWidth="1" min="7" max="7"/>
    <col width="38" customWidth="1" min="8" max="8"/>
  </cols>
  <sheetData>
    <row r="1">
      <c r="A1" s="107" t="inlineStr">
        <is>
          <t>14 300K Uso de fondos</t>
        </is>
      </c>
      <c r="B1" s="108" t="str"/>
      <c r="C1" s="108" t="str"/>
      <c r="D1" s="109" t="str"/>
      <c r="E1" s="109" t="str"/>
      <c r="F1" s="109" t="str"/>
      <c r="G1" s="109" t="str"/>
      <c r="H1" s="120" t="n"/>
    </row>
    <row r="2">
      <c r="A2" s="111" t="inlineStr">
        <is>
          <t>Uso de los 300.000 EUR y gates de liberacion. Bloque separado del plan 2030.</t>
        </is>
      </c>
      <c r="B2" s="112" t="str"/>
      <c r="C2" s="112" t="str"/>
      <c r="D2" s="112" t="str"/>
      <c r="E2" s="112" t="str"/>
      <c r="F2" s="112" t="str"/>
      <c r="G2" s="112" t="str"/>
      <c r="H2" s="122" t="n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22" t="n"/>
    </row>
    <row r="4">
      <c r="A4" s="13" t="n"/>
      <c r="B4" s="14" t="n"/>
      <c r="C4" s="14" t="n"/>
      <c r="D4" s="14" t="n"/>
      <c r="E4" s="14" t="n"/>
      <c r="F4" s="14" t="n"/>
      <c r="G4" s="14" t="n"/>
      <c r="H4" s="122" t="n"/>
    </row>
    <row r="5">
      <c r="A5" s="114" t="inlineStr">
        <is>
          <t>Bloque</t>
        </is>
      </c>
      <c r="B5" s="115" t="inlineStr">
        <is>
          <t>Importe</t>
        </is>
      </c>
      <c r="C5" s="115" t="inlineStr">
        <is>
          <t>% total</t>
        </is>
      </c>
      <c r="D5" s="115" t="inlineStr">
        <is>
          <t>Objetivo</t>
        </is>
      </c>
      <c r="E5" s="115" t="inlineStr">
        <is>
          <t>Gate</t>
        </is>
      </c>
      <c r="F5" s="115" t="inlineStr">
        <is>
          <t>Tipo</t>
        </is>
      </c>
      <c r="G5" s="115" t="inlineStr">
        <is>
          <t>Notas</t>
        </is>
      </c>
      <c r="H5" s="122" t="n"/>
    </row>
    <row r="6" ht="34" customHeight="1">
      <c r="A6" s="142" t="inlineStr">
        <is>
          <t>Equipo base julio-diciembre 2026</t>
        </is>
      </c>
      <c r="B6" s="170" t="n">
        <v>114600</v>
      </c>
      <c r="C6" s="172">
        <f>B6/$B$12</f>
        <v/>
      </c>
      <c r="D6" s="140" t="inlineStr">
        <is>
          <t>Continuidad directiva, producto, operaciones y comercial</t>
        </is>
      </c>
      <c r="E6" s="140" t="inlineStr">
        <is>
          <t>Calendario mensual y roles definidos</t>
        </is>
      </c>
      <c r="F6" s="140" t="inlineStr">
        <is>
          <t>Equipo</t>
        </is>
      </c>
      <c r="G6" s="140" t="inlineStr">
        <is>
          <t>Asegura continuidad y ejecucion.</t>
        </is>
      </c>
      <c r="H6" s="122" t="n"/>
    </row>
    <row r="7" ht="34" customHeight="1">
      <c r="A7" s="142" t="inlineStr">
        <is>
          <t>Seguridad Social / cumplimiento laboral</t>
        </is>
      </c>
      <c r="B7" s="170" t="n">
        <v>18000</v>
      </c>
      <c r="C7" s="172">
        <f>B7/$B$12</f>
        <v/>
      </c>
      <c r="D7" s="140" t="inlineStr">
        <is>
          <t>Provisiones laborales y regularizacion</t>
        </is>
      </c>
      <c r="E7" s="140" t="inlineStr">
        <is>
          <t>Contrataciones formalizadas</t>
        </is>
      </c>
      <c r="F7" s="140" t="inlineStr">
        <is>
          <t>Cumplimiento</t>
        </is>
      </c>
      <c r="G7" s="140" t="inlineStr">
        <is>
          <t>Evita arrastre operativo.</t>
        </is>
      </c>
      <c r="H7" s="122" t="n"/>
    </row>
    <row r="8" ht="34" customHeight="1">
      <c r="A8" s="142" t="inlineStr">
        <is>
          <t>Software / IT / telecom / IA</t>
        </is>
      </c>
      <c r="B8" s="170" t="n">
        <v>78000</v>
      </c>
      <c r="C8" s="172">
        <f>B8/$B$12</f>
        <v/>
      </c>
      <c r="D8" s="140" t="inlineStr">
        <is>
          <t>CUEVA OS, DPP/POI, cloud, seguridad, demos y campo</t>
        </is>
      </c>
      <c r="E8" s="140" t="inlineStr">
        <is>
          <t>Adquisicion por hitos y necesidad de proyecto</t>
        </is>
      </c>
      <c r="F8" s="140" t="inlineStr">
        <is>
          <t>Producto</t>
        </is>
      </c>
      <c r="G8" s="140" t="inlineStr">
        <is>
          <t>No sobredimensionar sin entregable.</t>
        </is>
      </c>
      <c r="H8" s="122" t="n"/>
    </row>
    <row r="9" ht="34" customHeight="1">
      <c r="A9" s="142" t="inlineStr">
        <is>
          <t>Marketing y comunicacion</t>
        </is>
      </c>
      <c r="B9" s="170" t="n">
        <v>18000</v>
      </c>
      <c r="C9" s="172">
        <f>B9/$B$12</f>
        <v/>
      </c>
      <c r="D9" s="140" t="inlineStr">
        <is>
          <t>Web, deck, casos, CRM y lanzamiento</t>
        </is>
      </c>
      <c r="E9" s="140" t="inlineStr">
        <is>
          <t>Producto demo estable</t>
        </is>
      </c>
      <c r="F9" s="140" t="inlineStr">
        <is>
          <t>GTM</t>
        </is>
      </c>
      <c r="G9" s="140" t="inlineStr">
        <is>
          <t>Soporte comercial e inversor.</t>
        </is>
      </c>
      <c r="H9" s="122" t="n"/>
    </row>
    <row r="10" ht="34" customHeight="1">
      <c r="A10" s="142" t="inlineStr">
        <is>
          <t>Hub Valeriano</t>
        </is>
      </c>
      <c r="B10" s="170" t="n">
        <v>66400</v>
      </c>
      <c r="C10" s="172">
        <f>B10/$B$12</f>
        <v/>
      </c>
      <c r="D10" s="140" t="inlineStr">
        <is>
          <t>Hub Valeriano, showroom y nodo operativo Menorca</t>
        </is>
      </c>
      <c r="E10" s="140" t="inlineStr">
        <is>
          <t>Acuerdo Valeriano y layout definido</t>
        </is>
      </c>
      <c r="F10" s="140" t="inlineStr">
        <is>
          <t>Hub</t>
        </is>
      </c>
      <c r="G10" s="140" t="inlineStr">
        <is>
          <t>Demostrador operativo y activacion territorial.</t>
        </is>
      </c>
      <c r="H10" s="122" t="n"/>
    </row>
    <row r="11" ht="34" customHeight="1">
      <c r="A11" s="142" t="inlineStr">
        <is>
          <t>Legal, auditoria, documentacion y contingencia</t>
        </is>
      </c>
      <c r="B11" s="170" t="n">
        <v>5000</v>
      </c>
      <c r="C11" s="172">
        <f>B11/$B$12</f>
        <v/>
      </c>
      <c r="D11" s="140" t="inlineStr">
        <is>
          <t>Blindaje documental y data room</t>
        </is>
      </c>
      <c r="E11" s="140" t="inlineStr">
        <is>
          <t>Checklist audit-ready</t>
        </is>
      </c>
      <c r="F11" s="140" t="inlineStr">
        <is>
          <t>Legal / contingencia</t>
        </is>
      </c>
      <c r="G11" s="140" t="inlineStr">
        <is>
          <t>Preparar siguientes conversaciones.</t>
        </is>
      </c>
      <c r="H11" s="122" t="n"/>
    </row>
    <row r="12" ht="34" customHeight="1">
      <c r="A12" s="168" t="inlineStr">
        <is>
          <t>TOTAL</t>
        </is>
      </c>
      <c r="B12" s="169">
        <f>SUM(B6:B11)</f>
        <v/>
      </c>
      <c r="C12" s="169">
        <f>SUM(C6:C11)</f>
        <v/>
      </c>
      <c r="D12" s="169" t="n"/>
      <c r="E12" s="169" t="n"/>
      <c r="F12" s="169" t="n"/>
      <c r="G12" s="169" t="n"/>
      <c r="H12" s="122" t="n"/>
    </row>
    <row r="13">
      <c r="A13" s="13" t="n"/>
      <c r="B13" s="14" t="n"/>
      <c r="C13" s="14" t="n"/>
      <c r="D13" s="14" t="n"/>
      <c r="E13" s="14" t="n"/>
      <c r="F13" s="14" t="n"/>
      <c r="G13" s="14" t="n"/>
      <c r="H13" s="122" t="n"/>
    </row>
    <row r="14">
      <c r="A14" s="13" t="n"/>
      <c r="B14" s="14" t="n"/>
      <c r="C14" s="14" t="n"/>
      <c r="D14" s="14" t="n"/>
      <c r="E14" s="14" t="n"/>
      <c r="F14" s="14" t="n"/>
      <c r="G14" s="14" t="n"/>
      <c r="H14" s="122" t="n"/>
    </row>
    <row r="15">
      <c r="A15" s="13" t="n"/>
      <c r="B15" s="14" t="n"/>
      <c r="C15" s="14" t="n"/>
      <c r="D15" s="14" t="n"/>
      <c r="E15" s="14" t="n"/>
      <c r="F15" s="14" t="n"/>
      <c r="G15" s="14" t="n"/>
      <c r="H15" s="122" t="n"/>
    </row>
    <row r="16">
      <c r="A16" s="13" t="n"/>
      <c r="B16" s="14" t="n"/>
      <c r="C16" s="14" t="n"/>
      <c r="D16" s="14" t="n"/>
      <c r="E16" s="14" t="n"/>
      <c r="F16" s="14" t="n"/>
      <c r="G16" s="14" t="n"/>
      <c r="H16" s="122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2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22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22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22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22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22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22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22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22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22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2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22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2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22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22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22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22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22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22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22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22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22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22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22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22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22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22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22" t="n"/>
    </row>
    <row r="45">
      <c r="A45" s="16" t="n"/>
      <c r="B45" s="17" t="n"/>
      <c r="C45" s="17" t="n"/>
      <c r="D45" s="17" t="n"/>
      <c r="E45" s="17" t="n"/>
      <c r="F45" s="17" t="n"/>
      <c r="G45" s="17" t="n"/>
      <c r="H45" s="128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4" customWidth="1" min="13" max="13"/>
    <col width="34" customWidth="1" min="14" max="14"/>
    <col width="34" customWidth="1" min="15" max="15"/>
  </cols>
  <sheetData>
    <row r="1">
      <c r="A1" s="107" t="inlineStr">
        <is>
          <t>15 300K Pipeline 2027</t>
        </is>
      </c>
      <c r="B1" s="108" t="str"/>
      <c r="C1" s="108" t="str"/>
      <c r="D1" s="108" t="str"/>
      <c r="E1" s="108" t="str"/>
      <c r="F1" s="109" t="str"/>
      <c r="G1" s="109" t="str"/>
      <c r="H1" s="109" t="str"/>
      <c r="I1" s="108" t="str"/>
      <c r="J1" s="108" t="str"/>
      <c r="K1" s="108" t="str"/>
      <c r="L1" s="108" t="str"/>
      <c r="M1" s="109" t="str"/>
      <c r="N1" s="109" t="str"/>
      <c r="O1" s="110" t="str"/>
    </row>
    <row r="2">
      <c r="A2" s="111" t="inlineStr">
        <is>
          <t>Pipeline 2027 del plan 300K: management case, ponderacion de riesgo y evidencia para reconocer ingresos.</t>
        </is>
      </c>
      <c r="B2" s="112" t="str"/>
      <c r="C2" s="112" t="str"/>
      <c r="D2" s="112" t="str"/>
      <c r="E2" s="112" t="str"/>
      <c r="F2" s="112" t="str"/>
      <c r="G2" s="112" t="str"/>
      <c r="H2" s="112" t="str"/>
      <c r="I2" s="112" t="str"/>
      <c r="J2" s="112" t="str"/>
      <c r="K2" s="112" t="str"/>
      <c r="L2" s="112" t="str"/>
      <c r="M2" s="112" t="str"/>
      <c r="N2" s="112" t="str"/>
      <c r="O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4" t="str"/>
      <c r="I3" s="14" t="str"/>
      <c r="J3" s="14" t="str"/>
      <c r="K3" s="14" t="str"/>
      <c r="L3" s="14" t="str"/>
      <c r="M3" s="14" t="str"/>
      <c r="N3" s="14" t="str"/>
      <c r="O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5" t="n"/>
    </row>
    <row r="5">
      <c r="A5" s="114" t="inlineStr">
        <is>
          <t>Proyecto</t>
        </is>
      </c>
      <c r="B5" s="115" t="inlineStr">
        <is>
          <t>Tipo</t>
        </is>
      </c>
      <c r="C5" s="115" t="inlineStr">
        <is>
          <t>Base 2027</t>
        </is>
      </c>
      <c r="D5" s="115" t="inlineStr">
        <is>
          <t>Probabilidad</t>
        </is>
      </c>
      <c r="E5" s="115" t="inlineStr">
        <is>
          <t>Ponderado</t>
        </is>
      </c>
      <c r="F5" s="115" t="inlineStr">
        <is>
          <t>GM</t>
        </is>
      </c>
      <c r="G5" s="115" t="inlineStr">
        <is>
          <t>Contribucion base</t>
        </is>
      </c>
      <c r="H5" s="115" t="inlineStr">
        <is>
          <t>Contribucion ponderada</t>
        </is>
      </c>
      <c r="I5" s="115" t="inlineStr">
        <is>
          <t>Inicio</t>
        </is>
      </c>
      <c r="J5" s="115" t="inlineStr">
        <is>
          <t>Fin</t>
        </is>
      </c>
      <c r="K5" s="115" t="inlineStr">
        <is>
          <t>Responsable</t>
        </is>
      </c>
      <c r="L5" s="115" t="inlineStr">
        <is>
          <t>Contraparte</t>
        </is>
      </c>
      <c r="M5" s="115" t="inlineStr">
        <is>
          <t>Gate</t>
        </is>
      </c>
      <c r="N5" s="115" t="inlineStr">
        <is>
          <t>Riesgo</t>
        </is>
      </c>
      <c r="O5" s="129" t="inlineStr">
        <is>
          <t>Decision si falla</t>
        </is>
      </c>
    </row>
    <row r="6" ht="34" customHeight="1">
      <c r="A6" s="142" t="inlineStr">
        <is>
          <t>Llar de Mar 2</t>
        </is>
      </c>
      <c r="B6" s="140" t="inlineStr">
        <is>
          <t>Proyecto constructivo</t>
        </is>
      </c>
      <c r="C6" s="170" t="n">
        <v>535000</v>
      </c>
      <c r="D6" s="172" t="n">
        <v>0.8</v>
      </c>
      <c r="E6" s="170">
        <f>C6*D6</f>
        <v/>
      </c>
      <c r="F6" s="172" t="n">
        <v>0.25</v>
      </c>
      <c r="G6" s="170">
        <f>C6*F6</f>
        <v/>
      </c>
      <c r="H6" s="170">
        <f>E6*F6</f>
        <v/>
      </c>
      <c r="I6" s="140" t="inlineStr">
        <is>
          <t>Ene-27</t>
        </is>
      </c>
      <c r="J6" s="140" t="inlineStr">
        <is>
          <t>Abr-27</t>
        </is>
      </c>
      <c r="K6" s="140" t="inlineStr">
        <is>
          <t>Luis/Angel</t>
        </is>
      </c>
      <c r="L6" s="140" t="inlineStr">
        <is>
          <t>TASH/Barionika</t>
        </is>
      </c>
      <c r="M6" s="140" t="inlineStr">
        <is>
          <t>Contrato + anticipo</t>
        </is>
      </c>
      <c r="N6" s="140" t="inlineStr">
        <is>
          <t>Margen obra / anticipo</t>
        </is>
      </c>
      <c r="O6" s="141" t="inlineStr">
        <is>
          <t>No activar coste sin anticipo</t>
        </is>
      </c>
    </row>
    <row r="7" ht="34" customHeight="1">
      <c r="A7" s="142" t="inlineStr">
        <is>
          <t>Digitalizacion fabricante partner piloto</t>
        </is>
      </c>
      <c r="B7" s="140" t="inlineStr">
        <is>
          <t>Factory Enablement</t>
        </is>
      </c>
      <c r="C7" s="170" t="n">
        <v>250000</v>
      </c>
      <c r="D7" s="172" t="n">
        <v>0.7</v>
      </c>
      <c r="E7" s="170">
        <f>C7*D7</f>
        <v/>
      </c>
      <c r="F7" s="172" t="n">
        <v>0.58</v>
      </c>
      <c r="G7" s="170">
        <f>C7*F7</f>
        <v/>
      </c>
      <c r="H7" s="170">
        <f>E7*F7</f>
        <v/>
      </c>
      <c r="I7" s="140" t="inlineStr">
        <is>
          <t>Ene-27</t>
        </is>
      </c>
      <c r="J7" s="140" t="inlineStr">
        <is>
          <t>Abr-27</t>
        </is>
      </c>
      <c r="K7" s="140" t="inlineStr">
        <is>
          <t>Luis/Hernan</t>
        </is>
      </c>
      <c r="L7" s="140" t="inlineStr">
        <is>
          <t>Partner industrial</t>
        </is>
      </c>
      <c r="M7" s="140" t="inlineStr">
        <is>
          <t>m2 planta validados</t>
        </is>
      </c>
      <c r="N7" s="140" t="inlineStr">
        <is>
          <t>m2 reales de planta y alcance firmado</t>
        </is>
      </c>
      <c r="O7" s="141" t="inlineStr">
        <is>
          <t>Reclasificar tier o fasear</t>
        </is>
      </c>
    </row>
    <row r="8" ht="34" customHeight="1">
      <c r="A8" s="142" t="inlineStr">
        <is>
          <t>Digitalizacion equipo de montaje</t>
        </is>
      </c>
      <c r="B8" s="140" t="inlineStr">
        <is>
          <t>Crew Enablement</t>
        </is>
      </c>
      <c r="C8" s="170" t="n">
        <v>35000</v>
      </c>
      <c r="D8" s="172" t="n">
        <v>0.7</v>
      </c>
      <c r="E8" s="170">
        <f>C8*D8</f>
        <v/>
      </c>
      <c r="F8" s="172" t="n">
        <v>0.62</v>
      </c>
      <c r="G8" s="170">
        <f>C8*F8</f>
        <v/>
      </c>
      <c r="H8" s="170">
        <f>E8*F8</f>
        <v/>
      </c>
      <c r="I8" s="140" t="inlineStr">
        <is>
          <t>Abr-27</t>
        </is>
      </c>
      <c r="J8" s="140" t="inlineStr">
        <is>
          <t>Abr-27</t>
        </is>
      </c>
      <c r="K8" s="140" t="inlineStr">
        <is>
          <t>Luis/Operaciones</t>
        </is>
      </c>
      <c r="L8" s="140" t="inlineStr">
        <is>
          <t>Equipo instalador</t>
        </is>
      </c>
      <c r="M8" s="140" t="inlineStr">
        <is>
          <t>Cuadrillas y operarios validados</t>
        </is>
      </c>
      <c r="N8" s="140" t="inlineStr">
        <is>
          <t>Cuadrillas y operarios identificados</t>
        </is>
      </c>
      <c r="O8" s="141" t="inlineStr">
        <is>
          <t>Reducir a Crew Starter</t>
        </is>
      </c>
    </row>
    <row r="9" ht="34" customHeight="1">
      <c r="A9" s="142" t="inlineStr">
        <is>
          <t>Fee de Red Fabricante - 52.000 m2</t>
        </is>
      </c>
      <c r="B9" s="140" t="inlineStr">
        <is>
          <t>Usage fee</t>
        </is>
      </c>
      <c r="C9" s="170" t="n">
        <v>130000</v>
      </c>
      <c r="D9" s="172" t="n">
        <v>0.7</v>
      </c>
      <c r="E9" s="170">
        <f>C9*D9</f>
        <v/>
      </c>
      <c r="F9" s="172" t="n">
        <v>0.86</v>
      </c>
      <c r="G9" s="170">
        <f>C9*F9</f>
        <v/>
      </c>
      <c r="H9" s="170">
        <f>E9*F9</f>
        <v/>
      </c>
      <c r="I9" s="140" t="inlineStr">
        <is>
          <t>Feb-27</t>
        </is>
      </c>
      <c r="J9" s="140" t="inlineStr">
        <is>
          <t>Dic-27</t>
        </is>
      </c>
      <c r="K9" s="140" t="inlineStr">
        <is>
          <t>Luis/Operaciones</t>
        </is>
      </c>
      <c r="L9" s="140" t="inlineStr">
        <is>
          <t>Fabricante / proyectos</t>
        </is>
      </c>
      <c r="M9" s="140" t="inlineStr">
        <is>
          <t>m2 fabricados verificados</t>
        </is>
      </c>
      <c r="N9" s="140" t="inlineStr">
        <is>
          <t>m2 fabricados y trazados</t>
        </is>
      </c>
      <c r="O9" s="141" t="inlineStr">
        <is>
          <t>Facturar solo m2 verificados</t>
        </is>
      </c>
    </row>
    <row r="10" ht="34" customHeight="1">
      <c r="A10" s="142" t="inlineStr">
        <is>
          <t>Fee de Red Montaje - 52.000 m2</t>
        </is>
      </c>
      <c r="B10" s="140" t="inlineStr">
        <is>
          <t>Usage fee</t>
        </is>
      </c>
      <c r="C10" s="170" t="n">
        <v>130000</v>
      </c>
      <c r="D10" s="172" t="n">
        <v>0.7</v>
      </c>
      <c r="E10" s="170">
        <f>C10*D10</f>
        <v/>
      </c>
      <c r="F10" s="172" t="n">
        <v>0.84</v>
      </c>
      <c r="G10" s="170">
        <f>C10*F10</f>
        <v/>
      </c>
      <c r="H10" s="170">
        <f>E10*F10</f>
        <v/>
      </c>
      <c r="I10" s="140" t="inlineStr">
        <is>
          <t>Feb-27</t>
        </is>
      </c>
      <c r="J10" s="140" t="inlineStr">
        <is>
          <t>Dic-27</t>
        </is>
      </c>
      <c r="K10" s="140" t="inlineStr">
        <is>
          <t>Luis/Operaciones</t>
        </is>
      </c>
      <c r="L10" s="140" t="inlineStr">
        <is>
          <t>Montador / proyectos</t>
        </is>
      </c>
      <c r="M10" s="140" t="inlineStr">
        <is>
          <t>m2 instalados verificados</t>
        </is>
      </c>
      <c r="N10" s="140" t="inlineStr">
        <is>
          <t>m2 instalados con Site Proof</t>
        </is>
      </c>
      <c r="O10" s="141" t="inlineStr">
        <is>
          <t>Facturar solo m2 verificados</t>
        </is>
      </c>
    </row>
    <row r="11" ht="34" customHeight="1">
      <c r="A11" s="142" t="inlineStr">
        <is>
          <t>KIWA/RMOOB - proyecto unico</t>
        </is>
      </c>
      <c r="B11" s="140" t="inlineStr">
        <is>
          <t>Certificacion / SaaS</t>
        </is>
      </c>
      <c r="C11" s="170" t="n">
        <v>400000</v>
      </c>
      <c r="D11" s="172" t="n">
        <v>0.5</v>
      </c>
      <c r="E11" s="170">
        <f>C11*D11</f>
        <v/>
      </c>
      <c r="F11" s="172" t="n">
        <v>0.55</v>
      </c>
      <c r="G11" s="170">
        <f>C11*F11</f>
        <v/>
      </c>
      <c r="H11" s="170">
        <f>E11*F11</f>
        <v/>
      </c>
      <c r="I11" s="140" t="inlineStr">
        <is>
          <t>Oct-27</t>
        </is>
      </c>
      <c r="J11" s="140" t="inlineStr">
        <is>
          <t>Dic-27</t>
        </is>
      </c>
      <c r="K11" s="140" t="inlineStr">
        <is>
          <t>Luis/Hernan</t>
        </is>
      </c>
      <c r="L11" s="140" t="inlineStr">
        <is>
          <t>KIWA/RMOOB</t>
        </is>
      </c>
      <c r="M11" s="140" t="inlineStr">
        <is>
          <t>Contrato + alcance + hitos</t>
        </is>
      </c>
      <c r="N11" s="140" t="inlineStr">
        <is>
          <t>Contrato, alcance y cobro por hitos</t>
        </is>
      </c>
      <c r="O11" s="141" t="inlineStr">
        <is>
          <t>No reconocer sin firma</t>
        </is>
      </c>
    </row>
    <row r="12" ht="34" customHeight="1">
      <c r="A12" s="142" t="inlineStr">
        <is>
          <t>Moolde / Plastic People / Calaf</t>
        </is>
      </c>
      <c r="B12" s="140" t="inlineStr">
        <is>
          <t>Piloto circular</t>
        </is>
      </c>
      <c r="C12" s="170" t="n">
        <v>90000</v>
      </c>
      <c r="D12" s="172" t="n">
        <v>0.45</v>
      </c>
      <c r="E12" s="170">
        <f>C12*D12</f>
        <v/>
      </c>
      <c r="F12" s="172" t="n">
        <v>0.4</v>
      </c>
      <c r="G12" s="170">
        <f>C12*F12</f>
        <v/>
      </c>
      <c r="H12" s="170">
        <f>E12*F12</f>
        <v/>
      </c>
      <c r="I12" s="140" t="inlineStr">
        <is>
          <t>May-27</t>
        </is>
      </c>
      <c r="J12" s="140" t="inlineStr">
        <is>
          <t>Sep-27</t>
        </is>
      </c>
      <c r="K12" s="140" t="inlineStr">
        <is>
          <t>Luis/Hernan</t>
        </is>
      </c>
      <c r="L12" s="140" t="inlineStr">
        <is>
          <t>Plastic People/Calaf</t>
        </is>
      </c>
      <c r="M12" s="140" t="inlineStr">
        <is>
          <t>Cofinanciacion + presupuesto</t>
        </is>
      </c>
      <c r="N12" s="140" t="inlineStr">
        <is>
          <t>Cofinanciacion y presupuesto</t>
        </is>
      </c>
      <c r="O12" s="141" t="inlineStr">
        <is>
          <t>Evitar piloto gratuito</t>
        </is>
      </c>
    </row>
    <row r="13" ht="34" customHeight="1">
      <c r="A13" s="142" t="inlineStr">
        <is>
          <t>Marsam / marcas producto</t>
        </is>
      </c>
      <c r="B13" s="140" t="inlineStr">
        <is>
          <t>Prototipos comerciales</t>
        </is>
      </c>
      <c r="C13" s="170" t="n">
        <v>40000</v>
      </c>
      <c r="D13" s="172" t="n">
        <v>0.45</v>
      </c>
      <c r="E13" s="170">
        <f>C13*D13</f>
        <v/>
      </c>
      <c r="F13" s="172" t="n">
        <v>0.55</v>
      </c>
      <c r="G13" s="170">
        <f>C13*F13</f>
        <v/>
      </c>
      <c r="H13" s="170">
        <f>E13*F13</f>
        <v/>
      </c>
      <c r="I13" s="140" t="inlineStr">
        <is>
          <t>Jun-27</t>
        </is>
      </c>
      <c r="J13" s="140" t="inlineStr">
        <is>
          <t>Nov-27</t>
        </is>
      </c>
      <c r="K13" s="140" t="inlineStr">
        <is>
          <t>Luis/Emilio</t>
        </is>
      </c>
      <c r="L13" s="140" t="inlineStr">
        <is>
          <t>Marsam/marcas</t>
        </is>
      </c>
      <c r="M13" s="140" t="inlineStr">
        <is>
          <t>Oferta aceptada</t>
        </is>
      </c>
      <c r="N13" s="140" t="inlineStr">
        <is>
          <t>Oferta aceptada</t>
        </is>
      </c>
      <c r="O13" s="141" t="inlineStr">
        <is>
          <t>Paquetizar prototipo</t>
        </is>
      </c>
    </row>
    <row r="14" ht="34" customHeight="1">
      <c r="A14" s="142" t="inlineStr">
        <is>
          <t>SaaS / POI / DPP recurrente</t>
        </is>
      </c>
      <c r="B14" s="140" t="inlineStr">
        <is>
          <t>Recurrente inicial</t>
        </is>
      </c>
      <c r="C14" s="170" t="n">
        <v>60000</v>
      </c>
      <c r="D14" s="172" t="n">
        <v>0.6</v>
      </c>
      <c r="E14" s="170">
        <f>C14*D14</f>
        <v/>
      </c>
      <c r="F14" s="172" t="n">
        <v>0.75</v>
      </c>
      <c r="G14" s="170">
        <f>C14*F14</f>
        <v/>
      </c>
      <c r="H14" s="170">
        <f>E14*F14</f>
        <v/>
      </c>
      <c r="I14" s="140" t="inlineStr">
        <is>
          <t>Jul-27</t>
        </is>
      </c>
      <c r="J14" s="140" t="inlineStr">
        <is>
          <t>Dic-27</t>
        </is>
      </c>
      <c r="K14" s="140" t="inlineStr">
        <is>
          <t>Hernan/Santi</t>
        </is>
      </c>
      <c r="L14" s="140" t="inlineStr">
        <is>
          <t>Clientes pipeline</t>
        </is>
      </c>
      <c r="M14" s="140" t="inlineStr">
        <is>
          <t>Contrato activo + uso</t>
        </is>
      </c>
      <c r="N14" s="140" t="inlineStr">
        <is>
          <t>Contratos activos y uso</t>
        </is>
      </c>
      <c r="O14" s="141" t="inlineStr">
        <is>
          <t>Reducir alcance a MVP vendible</t>
        </is>
      </c>
    </row>
    <row r="15" ht="34" customHeight="1">
      <c r="A15" s="168" t="inlineStr">
        <is>
          <t>TOTAL</t>
        </is>
      </c>
      <c r="B15" s="169" t="str"/>
      <c r="C15" s="169">
        <f>SUM(C6:C14)</f>
        <v/>
      </c>
      <c r="D15" s="169" t="n"/>
      <c r="E15" s="169">
        <f>SUM(E6:E14)</f>
        <v/>
      </c>
      <c r="F15" s="169" t="n"/>
      <c r="G15" s="169">
        <f>SUM(G6:G14)</f>
        <v/>
      </c>
      <c r="H15" s="169">
        <f>SUM(H6:H14)</f>
        <v/>
      </c>
      <c r="I15" s="169" t="n"/>
      <c r="J15" s="169" t="n"/>
      <c r="K15" s="169" t="n"/>
      <c r="L15" s="169" t="n"/>
      <c r="M15" s="169" t="n"/>
      <c r="N15" s="169" t="n"/>
      <c r="O15" s="171" t="n"/>
    </row>
    <row r="16">
      <c r="A16" s="13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5" t="n"/>
    </row>
    <row r="45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8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07" t="inlineStr">
        <is>
          <t>16 300K Puente con escala</t>
        </is>
      </c>
      <c r="B1" s="108" t="str"/>
      <c r="C1" s="108" t="str"/>
      <c r="D1" s="108" t="str"/>
      <c r="E1" s="109" t="str"/>
      <c r="F1" s="109" t="str"/>
      <c r="G1" s="109" t="str"/>
      <c r="H1" s="110" t="str"/>
    </row>
    <row r="2">
      <c r="A2" s="111" t="inlineStr">
        <is>
          <t>Puente explicito entre plan minimo 300K y CUEVA Total 2030. Esta hoja separa ambos niveles.</t>
        </is>
      </c>
      <c r="B2" s="112" t="str"/>
      <c r="C2" s="112" t="str"/>
      <c r="D2" s="112" t="str"/>
      <c r="E2" s="112" t="str"/>
      <c r="F2" s="112" t="str"/>
      <c r="G2" s="112" t="str"/>
      <c r="H2" s="113" t="str"/>
    </row>
    <row r="3">
      <c r="A3" s="13" t="str"/>
      <c r="B3" s="14" t="str"/>
      <c r="C3" s="14" t="str"/>
      <c r="D3" s="14" t="str"/>
      <c r="E3" s="14" t="str"/>
      <c r="F3" s="14" t="str"/>
      <c r="G3" s="14" t="str"/>
      <c r="H3" s="15" t="str"/>
    </row>
    <row r="4">
      <c r="A4" s="13" t="n"/>
      <c r="B4" s="14" t="n"/>
      <c r="C4" s="14" t="n"/>
      <c r="D4" s="14" t="n"/>
      <c r="E4" s="14" t="n"/>
      <c r="F4" s="14" t="n"/>
      <c r="G4" s="14" t="n"/>
      <c r="H4" s="15" t="n"/>
    </row>
    <row r="5">
      <c r="A5" s="114" t="inlineStr">
        <is>
          <t>Metrica 2027</t>
        </is>
      </c>
      <c r="B5" s="115" t="inlineStr">
        <is>
          <t>Plan 300K</t>
        </is>
      </c>
      <c r="C5" s="115" t="inlineStr">
        <is>
          <t>Scale case</t>
        </is>
      </c>
      <c r="D5" s="115" t="inlineStr">
        <is>
          <t>Gap / lectura</t>
        </is>
      </c>
      <c r="E5" s="115" t="inlineStr">
        <is>
          <t>Gate para escalar</t>
        </is>
      </c>
      <c r="F5" s="115" t="inlineStr">
        <is>
          <t>Notas</t>
        </is>
      </c>
      <c r="G5" s="14" t="n"/>
      <c r="H5" s="15" t="n"/>
    </row>
    <row r="6" ht="34" customHeight="1">
      <c r="A6" s="142" t="inlineStr">
        <is>
          <t>m2 ejecutados</t>
        </is>
      </c>
      <c r="B6" s="173" t="n">
        <v>52000</v>
      </c>
      <c r="C6" s="173" t="n">
        <v>446000</v>
      </c>
      <c r="D6" s="173">
        <f>C6-B6</f>
        <v/>
      </c>
      <c r="E6" s="140" t="inlineStr">
        <is>
          <t>Capital de expansion + contratos de red</t>
        </is>
      </c>
      <c r="F6" s="140" t="inlineStr">
        <is>
          <t>El 300K demuestra el caso minimo; no sustituye la escala.</t>
        </is>
      </c>
      <c r="G6" s="140" t="n"/>
      <c r="H6" s="141" t="n"/>
    </row>
    <row r="7" ht="34" customHeight="1">
      <c r="A7" s="142" t="inlineStr">
        <is>
          <t>Revenue EUR M</t>
        </is>
      </c>
      <c r="B7" s="170" t="n">
        <v>1.67</v>
      </c>
      <c r="C7" s="170" t="n">
        <v>12.722895</v>
      </c>
      <c r="D7" s="170">
        <f>C7-B7</f>
        <v/>
      </c>
      <c r="E7" s="140" t="inlineStr">
        <is>
          <t>Diferenciar base obligatoria de crecimiento financiado</t>
        </is>
      </c>
      <c r="F7" s="140" t="inlineStr">
        <is>
          <t>La lectura scale exige capital adicional.</t>
        </is>
      </c>
      <c r="G7" s="140" t="n"/>
      <c r="H7" s="141" t="n"/>
    </row>
    <row r="8" ht="34" customHeight="1">
      <c r="A8" s="142" t="inlineStr">
        <is>
          <t>EBITDA EUR M</t>
        </is>
      </c>
      <c r="B8" s="170" t="n">
        <v>0.313999</v>
      </c>
      <c r="C8" s="170" t="n">
        <v>1.90938</v>
      </c>
      <c r="D8" s="170">
        <f>C8-B8</f>
        <v/>
      </c>
      <c r="E8" s="140" t="inlineStr">
        <is>
          <t>No anticipar contratacion sin hitos</t>
        </is>
      </c>
      <c r="F8" s="140" t="inlineStr">
        <is>
          <t>Equipo y OPEX deben liberarse por gates.</t>
        </is>
      </c>
      <c r="G8" s="140" t="n"/>
      <c r="H8" s="141" t="n"/>
    </row>
    <row r="9" ht="34" customHeight="1">
      <c r="A9" s="142" t="inlineStr">
        <is>
          <t>Financiacion de expansion EUR M</t>
        </is>
      </c>
      <c r="B9" s="170" t="n">
        <v>0.3</v>
      </c>
      <c r="C9" s="170" t="n">
        <v>3</v>
      </c>
      <c r="D9" s="170">
        <f>C9-B9</f>
        <v/>
      </c>
      <c r="E9" s="140" t="inlineStr">
        <is>
          <t>Ronda posterior al plan minimo</t>
        </is>
      </c>
      <c r="F9" s="140" t="inlineStr">
        <is>
          <t>El gap de capital no se imputa al 300K.</t>
        </is>
      </c>
      <c r="G9" s="140" t="n"/>
      <c r="H9" s="141" t="n"/>
    </row>
    <row r="10" ht="34" customHeight="1">
      <c r="A10" s="142" t="n"/>
      <c r="B10" s="140" t="n"/>
      <c r="C10" s="140" t="n"/>
      <c r="D10" s="140" t="n"/>
      <c r="E10" s="140" t="n"/>
      <c r="F10" s="140" t="n"/>
      <c r="G10" s="140" t="n"/>
      <c r="H10" s="141" t="n"/>
    </row>
    <row r="11" ht="34" customHeight="1">
      <c r="A11" s="142" t="n"/>
      <c r="B11" s="140" t="n"/>
      <c r="C11" s="140" t="n"/>
      <c r="D11" s="140" t="n"/>
      <c r="E11" s="140" t="n"/>
      <c r="F11" s="140" t="n"/>
      <c r="G11" s="140" t="n"/>
      <c r="H11" s="141" t="n"/>
    </row>
    <row r="12" ht="34" customHeight="1">
      <c r="A12" s="143" t="inlineStr">
        <is>
          <t>Bridge ingresos 2027: lectura de referencia a lectura ajustada</t>
        </is>
      </c>
      <c r="B12" s="144" t="str"/>
      <c r="C12" s="144" t="str"/>
      <c r="D12" s="144" t="str"/>
      <c r="E12" s="144" t="str"/>
      <c r="F12" s="144" t="str"/>
      <c r="G12" s="144" t="str"/>
      <c r="H12" s="145" t="str"/>
    </row>
    <row r="13" ht="34" customHeight="1">
      <c r="A13" s="146" t="inlineStr">
        <is>
          <t>Movimiento</t>
        </is>
      </c>
      <c r="B13" s="147" t="inlineStr">
        <is>
          <t>Movimiento EUR</t>
        </is>
      </c>
      <c r="C13" s="147" t="inlineStr">
        <is>
          <t>Acumulado EUR</t>
        </is>
      </c>
      <c r="D13" s="147" t="inlineStr">
        <is>
          <t>Racional</t>
        </is>
      </c>
      <c r="E13" s="147" t="inlineStr">
        <is>
          <t>Nota</t>
        </is>
      </c>
      <c r="F13" s="147" t="str"/>
      <c r="G13" s="147" t="str"/>
      <c r="H13" s="148" t="str"/>
    </row>
    <row r="14" ht="34" customHeight="1">
      <c r="A14" s="142" t="inlineStr">
        <is>
          <t>Plan 2027 de referencia</t>
        </is>
      </c>
      <c r="B14" s="170" t="n">
        <v>2155000</v>
      </c>
      <c r="C14" s="170" t="n">
        <v>2155000</v>
      </c>
      <c r="D14" s="140" t="inlineStr">
        <is>
          <t>Referencia de plan base</t>
        </is>
      </c>
      <c r="E14" s="140" t="str"/>
      <c r="F14" s="140" t="n"/>
      <c r="G14" s="140" t="n"/>
      <c r="H14" s="141" t="n"/>
    </row>
    <row r="15" ht="34" customHeight="1">
      <c r="A15" s="142" t="inlineStr">
        <is>
          <t>Eliminar KIWA/RMOOB duplicado</t>
        </is>
      </c>
      <c r="B15" s="170" t="n">
        <v>-850000</v>
      </c>
      <c r="C15" s="170">
        <f>C14+B15</f>
        <v/>
      </c>
      <c r="D15" s="140" t="inlineStr">
        <is>
          <t>Se conserva un unico proyecto de 400k</t>
        </is>
      </c>
      <c r="E15" s="140" t="inlineStr">
        <is>
          <t>Evita duplicidad.</t>
        </is>
      </c>
      <c r="F15" s="140" t="n"/>
      <c r="G15" s="140" t="n"/>
      <c r="H15" s="141" t="n"/>
    </row>
    <row r="16" ht="34" customHeight="1">
      <c r="A16" s="142" t="inlineStr">
        <is>
          <t>Reprecificar implantacion fabricante</t>
        </is>
      </c>
      <c r="B16" s="170" t="n">
        <v>70000</v>
      </c>
      <c r="C16" s="170">
        <f>C15+B16</f>
        <v/>
      </c>
      <c r="D16" s="140" t="inlineStr">
        <is>
          <t>180k legacy pasa a tier por m2 de planta</t>
        </is>
      </c>
      <c r="E16" s="140" t="inlineStr">
        <is>
          <t>Ajuste de pricing.</t>
        </is>
      </c>
      <c r="F16" s="140" t="n"/>
      <c r="G16" s="140" t="n"/>
      <c r="H16" s="141" t="n"/>
    </row>
    <row r="17" ht="34" customHeight="1">
      <c r="A17" s="142" t="inlineStr">
        <is>
          <t>Añadir digitalizacion montador</t>
        </is>
      </c>
      <c r="B17" s="170" t="n">
        <v>35000</v>
      </c>
      <c r="C17" s="170">
        <f>C16+B17</f>
        <v/>
      </c>
      <c r="D17" s="140" t="inlineStr">
        <is>
          <t>Precio por numero de cuadrillas</t>
        </is>
      </c>
      <c r="E17" s="140" t="inlineStr">
        <is>
          <t>Nueva linea.</t>
        </is>
      </c>
      <c r="F17" s="140" t="n"/>
      <c r="G17" s="140" t="n"/>
      <c r="H17" s="141" t="n"/>
    </row>
    <row r="18" ht="34" customHeight="1">
      <c r="A18" s="142" t="inlineStr">
        <is>
          <t>Añadir fees fabricante + montaje</t>
        </is>
      </c>
      <c r="B18" s="170" t="n">
        <v>260000</v>
      </c>
      <c r="C18" s="170">
        <f>C17+B18</f>
        <v/>
      </c>
      <c r="D18" s="140" t="inlineStr">
        <is>
          <t>52k m2 x 5,00 EUR/m2 combinados</t>
        </is>
      </c>
      <c r="E18" s="140" t="inlineStr">
        <is>
          <t>Fee de red combinado.</t>
        </is>
      </c>
      <c r="F18" s="140" t="n"/>
      <c r="G18" s="140" t="n"/>
      <c r="H18" s="141" t="n"/>
    </row>
    <row r="19" ht="34" customHeight="1">
      <c r="A19" s="168" t="inlineStr">
        <is>
          <t>Management case 2027</t>
        </is>
      </c>
      <c r="B19" s="169" t="str"/>
      <c r="C19" s="169">
        <f>C18</f>
        <v/>
      </c>
      <c r="D19" s="169" t="inlineStr">
        <is>
          <t>Debe reconciliar con pipeline 300K</t>
        </is>
      </c>
      <c r="E19" s="169" t="str"/>
      <c r="F19" s="169" t="n"/>
      <c r="G19" s="169" t="n"/>
      <c r="H19" s="171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5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5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5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5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5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5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5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5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  <row r="31">
      <c r="A31" s="13" t="n"/>
      <c r="B31" s="14" t="n"/>
      <c r="C31" s="14" t="n"/>
      <c r="D31" s="14" t="n"/>
      <c r="E31" s="14" t="n"/>
      <c r="F31" s="14" t="n"/>
      <c r="G31" s="14" t="n"/>
      <c r="H31" s="15" t="n"/>
    </row>
    <row r="32">
      <c r="A32" s="13" t="n"/>
      <c r="B32" s="14" t="n"/>
      <c r="C32" s="14" t="n"/>
      <c r="D32" s="14" t="n"/>
      <c r="E32" s="14" t="n"/>
      <c r="F32" s="14" t="n"/>
      <c r="G32" s="14" t="n"/>
      <c r="H32" s="15" t="n"/>
    </row>
    <row r="33">
      <c r="A33" s="13" t="n"/>
      <c r="B33" s="14" t="n"/>
      <c r="C33" s="14" t="n"/>
      <c r="D33" s="14" t="n"/>
      <c r="E33" s="14" t="n"/>
      <c r="F33" s="14" t="n"/>
      <c r="G33" s="14" t="n"/>
      <c r="H33" s="15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5" t="n"/>
    </row>
    <row r="35">
      <c r="A35" s="13" t="n"/>
      <c r="B35" s="14" t="n"/>
      <c r="C35" s="14" t="n"/>
      <c r="D35" s="14" t="n"/>
      <c r="E35" s="14" t="n"/>
      <c r="F35" s="14" t="n"/>
      <c r="G35" s="14" t="n"/>
      <c r="H35" s="15" t="n"/>
    </row>
    <row r="36">
      <c r="A36" s="13" t="n"/>
      <c r="B36" s="14" t="n"/>
      <c r="C36" s="14" t="n"/>
      <c r="D36" s="14" t="n"/>
      <c r="E36" s="14" t="n"/>
      <c r="F36" s="14" t="n"/>
      <c r="G36" s="14" t="n"/>
      <c r="H36" s="15" t="n"/>
    </row>
    <row r="37">
      <c r="A37" s="13" t="n"/>
      <c r="B37" s="14" t="n"/>
      <c r="C37" s="14" t="n"/>
      <c r="D37" s="14" t="n"/>
      <c r="E37" s="14" t="n"/>
      <c r="F37" s="14" t="n"/>
      <c r="G37" s="14" t="n"/>
      <c r="H37" s="15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5" t="n"/>
    </row>
    <row r="39">
      <c r="A39" s="13" t="n"/>
      <c r="B39" s="14" t="n"/>
      <c r="C39" s="14" t="n"/>
      <c r="D39" s="14" t="n"/>
      <c r="E39" s="14" t="n"/>
      <c r="F39" s="14" t="n"/>
      <c r="G39" s="14" t="n"/>
      <c r="H39" s="15" t="n"/>
    </row>
    <row r="40">
      <c r="A40" s="13" t="n"/>
      <c r="B40" s="14" t="n"/>
      <c r="C40" s="14" t="n"/>
      <c r="D40" s="14" t="n"/>
      <c r="E40" s="14" t="n"/>
      <c r="F40" s="14" t="n"/>
      <c r="G40" s="14" t="n"/>
      <c r="H40" s="15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5" t="n"/>
    </row>
    <row r="42">
      <c r="A42" s="13" t="n"/>
      <c r="B42" s="14" t="n"/>
      <c r="C42" s="14" t="n"/>
      <c r="D42" s="14" t="n"/>
      <c r="E42" s="14" t="n"/>
      <c r="F42" s="14" t="n"/>
      <c r="G42" s="14" t="n"/>
      <c r="H42" s="15" t="n"/>
    </row>
    <row r="43">
      <c r="A43" s="13" t="n"/>
      <c r="B43" s="14" t="n"/>
      <c r="C43" s="14" t="n"/>
      <c r="D43" s="14" t="n"/>
      <c r="E43" s="14" t="n"/>
      <c r="F43" s="14" t="n"/>
      <c r="G43" s="14" t="n"/>
      <c r="H43" s="15" t="n"/>
    </row>
    <row r="44">
      <c r="A44" s="13" t="n"/>
      <c r="B44" s="14" t="n"/>
      <c r="C44" s="14" t="n"/>
      <c r="D44" s="14" t="n"/>
      <c r="E44" s="14" t="n"/>
      <c r="F44" s="14" t="n"/>
      <c r="G44" s="14" t="n"/>
      <c r="H44" s="15" t="n"/>
    </row>
    <row r="45">
      <c r="A45" s="13" t="n"/>
      <c r="B45" s="14" t="n"/>
      <c r="C45" s="14" t="n"/>
      <c r="D45" s="14" t="n"/>
      <c r="E45" s="14" t="n"/>
      <c r="F45" s="14" t="n"/>
      <c r="G45" s="14" t="n"/>
      <c r="H45" s="15" t="n"/>
    </row>
    <row r="46">
      <c r="A46" s="13" t="n"/>
      <c r="B46" s="14" t="n"/>
      <c r="C46" s="14" t="n"/>
      <c r="D46" s="14" t="n"/>
      <c r="E46" s="14" t="n"/>
      <c r="F46" s="14" t="n"/>
      <c r="G46" s="14" t="n"/>
      <c r="H46" s="15" t="n"/>
    </row>
    <row r="47">
      <c r="A47" s="13" t="n"/>
      <c r="B47" s="14" t="n"/>
      <c r="C47" s="14" t="n"/>
      <c r="D47" s="14" t="n"/>
      <c r="E47" s="14" t="n"/>
      <c r="F47" s="14" t="n"/>
      <c r="G47" s="14" t="n"/>
      <c r="H47" s="15" t="n"/>
    </row>
    <row r="48">
      <c r="A48" s="13" t="n"/>
      <c r="B48" s="14" t="n"/>
      <c r="C48" s="14" t="n"/>
      <c r="D48" s="14" t="n"/>
      <c r="E48" s="14" t="n"/>
      <c r="F48" s="14" t="n"/>
      <c r="G48" s="14" t="n"/>
      <c r="H48" s="15" t="n"/>
    </row>
    <row r="49">
      <c r="A49" s="13" t="n"/>
      <c r="B49" s="14" t="n"/>
      <c r="C49" s="14" t="n"/>
      <c r="D49" s="14" t="n"/>
      <c r="E49" s="14" t="n"/>
      <c r="F49" s="14" t="n"/>
      <c r="G49" s="14" t="n"/>
      <c r="H49" s="15" t="n"/>
    </row>
    <row r="50">
      <c r="A50" s="13" t="n"/>
      <c r="B50" s="14" t="n"/>
      <c r="C50" s="14" t="n"/>
      <c r="D50" s="14" t="n"/>
      <c r="E50" s="14" t="n"/>
      <c r="F50" s="14" t="n"/>
      <c r="G50" s="14" t="n"/>
      <c r="H50" s="15" t="n"/>
    </row>
    <row r="51">
      <c r="A51" s="13" t="n"/>
      <c r="B51" s="14" t="n"/>
      <c r="C51" s="14" t="n"/>
      <c r="D51" s="14" t="n"/>
      <c r="E51" s="14" t="n"/>
      <c r="F51" s="14" t="n"/>
      <c r="G51" s="14" t="n"/>
      <c r="H51" s="15" t="n"/>
    </row>
    <row r="52">
      <c r="A52" s="13" t="n"/>
      <c r="B52" s="14" t="n"/>
      <c r="C52" s="14" t="n"/>
      <c r="D52" s="14" t="n"/>
      <c r="E52" s="14" t="n"/>
      <c r="F52" s="14" t="n"/>
      <c r="G52" s="14" t="n"/>
      <c r="H52" s="15" t="n"/>
    </row>
    <row r="53">
      <c r="A53" s="13" t="n"/>
      <c r="B53" s="14" t="n"/>
      <c r="C53" s="14" t="n"/>
      <c r="D53" s="14" t="n"/>
      <c r="E53" s="14" t="n"/>
      <c r="F53" s="14" t="n"/>
      <c r="G53" s="14" t="n"/>
      <c r="H53" s="15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5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5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5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5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5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5" t="n"/>
    </row>
    <row r="60">
      <c r="A60" s="16" t="n"/>
      <c r="B60" s="17" t="n"/>
      <c r="C60" s="17" t="n"/>
      <c r="D60" s="17" t="n"/>
      <c r="E60" s="17" t="n"/>
      <c r="F60" s="17" t="n"/>
      <c r="G60" s="17" t="n"/>
      <c r="H60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CUEVA</dc:creator>
  <dcterms:created xmlns:dcterms="http://purl.org/dc/terms/" xmlns:xsi="http://www.w3.org/2001/XMLSchema-instance" xsi:type="dcterms:W3CDTF">2026-07-17T07:39:14Z</dcterms:created>
  <dcterms:modified xmlns:dcterms="http://purl.org/dc/terms/" xmlns:xsi="http://www.w3.org/2001/XMLSchema-instance" xsi:type="dcterms:W3CDTF">2026-07-17T07:42:19Z</dcterms:modified>
  <cp:lastModifiedBy>CUEVA</cp:lastModifiedBy>
</cp:coreProperties>
</file>