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44bfbc7ed84d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1b539db7c07141ab"/>
    <x:sheet xmlns:r="http://schemas.openxmlformats.org/officeDocument/2006/relationships" name="01_Assumptions" sheetId="2" r:id="R2b887f7aa3f84d86"/>
    <x:sheet xmlns:r="http://schemas.openxmlformats.org/officeDocument/2006/relationships" name="02_Plan_300K" sheetId="3" r:id="R60f95bbf12764030"/>
    <x:sheet xmlns:r="http://schemas.openxmlformats.org/officeDocument/2006/relationships" name="02B_Partner_Economics" sheetId="4" r:id="Rf63670aac6824b65"/>
    <x:sheet xmlns:r="http://schemas.openxmlformats.org/officeDocument/2006/relationships" name="03_Use_Funds" sheetId="5" r:id="R8e518e07ceeb4adf"/>
    <x:sheet xmlns:r="http://schemas.openxmlformats.org/officeDocument/2006/relationships" name="04_Projects_2027" sheetId="6" r:id="Rc3f03ebdb2d346bf"/>
    <x:sheet xmlns:r="http://schemas.openxmlformats.org/officeDocument/2006/relationships" name="04B_Bridge_300K_2030" sheetId="7" r:id="Ra9b78ea353194fbe"/>
    <x:sheet xmlns:r="http://schemas.openxmlformats.org/officeDocument/2006/relationships" name="05_m2_Stock" sheetId="8" r:id="R87797242b6f343d4"/>
    <x:sheet xmlns:r="http://schemas.openxmlformats.org/officeDocument/2006/relationships" name="06_Revenue" sheetId="9" r:id="R5974ba20b4e34a3e"/>
    <x:sheet xmlns:r="http://schemas.openxmlformats.org/officeDocument/2006/relationships" name="07_Contribution" sheetId="10" r:id="R5d52403569014c9a"/>
    <x:sheet xmlns:r="http://schemas.openxmlformats.org/officeDocument/2006/relationships" name="08_OPEX" sheetId="11" r:id="Ra323c43f3db44001"/>
    <x:sheet xmlns:r="http://schemas.openxmlformats.org/officeDocument/2006/relationships" name="09_Cash_Capex_WC" sheetId="12" r:id="R42a610d9c90f4d21"/>
    <x:sheet xmlns:r="http://schemas.openxmlformats.org/officeDocument/2006/relationships" name="10_Valuation" sheetId="13" r:id="R9e5f028ce0024095"/>
    <x:sheet xmlns:r="http://schemas.openxmlformats.org/officeDocument/2006/relationships" name="11_Scenarios" sheetId="14" r:id="Rbc44d6dcaf85463a"/>
    <x:sheet xmlns:r="http://schemas.openxmlformats.org/officeDocument/2006/relationships" name="12_Stress_Tests" sheetId="15" r:id="Rdcb484d608b744e9"/>
    <x:sheet xmlns:r="http://schemas.openxmlformats.org/officeDocument/2006/relationships" name="13_Dashboard" sheetId="16" r:id="Redb15ff5dcc74a5a"/>
    <x:sheet xmlns:r="http://schemas.openxmlformats.org/officeDocument/2006/relationships" name="14_Checks" sheetId="17" r:id="R98388fcab2b94bdf"/>
    <x:sheet xmlns:r="http://schemas.openxmlformats.org/officeDocument/2006/relationships" name="15_Sources_Changelog" sheetId="18" r:id="R5836542d5b9245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"/>
    <x:numFmt numFmtId="202" formatCode="0.0%"/>
    <x:numFmt numFmtId="203" formatCode="#,##0.0"/>
    <x:numFmt numFmtId="204" formatCode="0.0x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3A5F"/>
      <x:name val="Carlito"/>
    </x:font>
    <x:font>
      <x:b/>
      <x:sz val="11"/>
      <x:color rgb="FFFFFFFF"/>
      <x:name val="Carlito"/>
    </x:font>
    <x:font>
      <x:b/>
      <x:sz val="11"/>
      <x:color rgb="FF0B1F33"/>
      <x:name val="Carlito"/>
    </x:font>
    <x:font>
      <x:b/>
      <x:sz val="11"/>
      <x:color rgb="FF0000FF"/>
      <x:name val="Carlito"/>
    </x:font>
    <x:font>
      <x:b/>
      <x:sz val="10"/>
      <x:color rgb="FF111827"/>
      <x:name val="Aptos"/>
    </x:font>
    <x:font>
      <x:i/>
      <x:sz val="10"/>
      <x:color rgb="FF111827"/>
      <x:name val="Aptos"/>
    </x:font>
    <x:font>
      <x:sz val="10"/>
      <x:color rgb="FF111827"/>
      <x:name val="Aptos"/>
    </x:font>
    <x:font>
      <x:sz val="11"/>
      <x:color rgb="FF0000FF"/>
      <x:name val="Carlito"/>
    </x:font>
    <x:font>
      <x:sz val="11"/>
      <x:color rgb="FF008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AF2F8"/>
      </x:patternFill>
    </x:fill>
    <x:fill>
      <x:patternFill patternType="solid">
        <x:fgColor rgb="FF123C55"/>
      </x:patternFill>
    </x:fill>
    <x:fill>
      <x:patternFill patternType="solid">
        <x:fgColor rgb="FFE8EEF5"/>
      </x:patternFill>
    </x:fill>
    <x:fill>
      <x:patternFill patternType="solid">
        <x:fgColor rgb="FFFFF4CC"/>
      </x:patternFill>
    </x:fill>
  </x:fills>
  <x:borders count="31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B8C6D1"/>
      </x:left>
      <x:top style="thin">
        <x:color rgb="FFB8C6D1"/>
      </x:top>
    </x:border>
    <x:border>
      <x:top style="thin">
        <x:color rgb="FFB8C6D1"/>
      </x:top>
    </x:border>
    <x:border>
      <x:right style="thin">
        <x:color rgb="FFB8C6D1"/>
      </x:right>
      <x:top style="thin">
        <x:color rgb="FFB8C6D1"/>
      </x:top>
    </x:border>
    <x:border>
      <x:left style="thin">
        <x:color rgb="FFB8C6D1"/>
      </x:left>
    </x:border>
    <x:border>
      <x:right style="thin">
        <x:color rgb="FFB8C6D1"/>
      </x:right>
    </x:border>
    <x:border>
      <x:left style="thin">
        <x:color rgb="FFB8C6D1"/>
      </x:left>
      <x:bottom style="thin">
        <x:color rgb="FFB8C6D1"/>
      </x:bottom>
    </x:border>
    <x:border>
      <x:bottom style="thin">
        <x:color rgb="FFB8C6D1"/>
      </x:bottom>
    </x:border>
    <x:border>
      <x:right style="thin">
        <x:color rgb="FFB8C6D1"/>
      </x:right>
      <x:bottom style="thin">
        <x:color rgb="FFB8C6D1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B8C6D1"/>
      </x:bottom>
    </x:border>
    <x:border>
      <x:right style="thin">
        <x:color rgb="FFD6B656"/>
      </x:right>
      <x:bottom style="thin">
        <x:color rgb="FFB8C6D1"/>
      </x:bottom>
    </x:border>
    <x:border>
      <x:left style="thin">
        <x:color rgb="FFD6B656"/>
      </x:left>
      <x:top style="thin">
        <x:color rgb="FFB8C6D1"/>
      </x:top>
    </x:border>
    <x:border>
      <x:right style="thin">
        <x:color rgb="FFD6B656"/>
      </x:right>
      <x:top style="thin">
        <x:color rgb="FFB8C6D1"/>
      </x:top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</x:border>
    <x:border>
      <x:left style="thin">
        <x:color rgb="FFD6B656"/>
      </x:left>
      <x:right style="thin">
        <x:color rgb="FFD6B656"/>
      </x:right>
    </x:border>
    <x:border>
      <x:left style="thin">
        <x:color rgb="FFD6B656"/>
      </x:left>
      <x:right style="thin">
        <x:color rgb="FFD6B656"/>
      </x:right>
      <x:bottom style="thin">
        <x:color rgb="FFD6B656"/>
      </x:bottom>
    </x:border>
    <x:border>
      <x:left style="thin">
        <x:color rgb="FFB8C6D1"/>
      </x:left>
      <x:top style="thin">
        <x:color rgb="FFB8C6D1"/>
      </x:top>
      <x:bottom style="thin">
        <x:color rgb="FFB8C6D1"/>
      </x:bottom>
    </x:border>
    <x:border>
      <x:top style="thin">
        <x:color rgb="FFB8C6D1"/>
      </x:top>
      <x:bottom style="thin">
        <x:color rgb="FFB8C6D1"/>
      </x:bottom>
    </x:border>
    <x:border>
      <x:right style="thin">
        <x:color rgb="FFB8C6D1"/>
      </x:right>
      <x:top style="thin">
        <x:color rgb="FFB8C6D1"/>
      </x:top>
      <x:bottom style="thin">
        <x:color rgb="FFB8C6D1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39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0" xfId="0" applyNumberFormat="1" applyFont="1" applyFill="1" applyBorder="1"/>
    <x:xf numFmtId="0" fontId="4" fillId="6" borderId="6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0" xfId="0" applyNumberFormat="1" applyFont="1" applyFill="1" applyBorder="1"/>
    <x:xf numFmtId="0" fontId="5" fillId="6" borderId="6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6" xfId="0" applyNumberFormat="1" applyFont="1" applyFill="1" applyBorder="1"/>
    <x:xf numFmtId="0" fontId="5" fillId="6" borderId="17" xfId="0" applyNumberFormat="1" applyFont="1" applyFill="1" applyBorder="1"/>
    <x:xf numFmtId="0" fontId="5" fillId="6" borderId="18" xfId="0" applyNumberFormat="1" applyFont="1" applyFill="1" applyBorder="1"/>
    <x:xf numFmtId="0" fontId="5" fillId="6" borderId="19" xfId="0" applyNumberFormat="1" applyFont="1" applyFill="1" applyBorder="1"/>
    <x:xf numFmtId="0" fontId="5" fillId="6" borderId="20" xfId="0" applyNumberFormat="1" applyFont="1" applyFill="1" applyBorder="1"/>
    <x:xf numFmtId="0" fontId="5" fillId="6" borderId="21" xfId="0" applyNumberFormat="1" applyFont="1" applyFill="1" applyBorder="1"/>
    <x:xf numFmtId="200" fontId="5" fillId="6" borderId="10" xfId="0" applyNumberFormat="1" applyFont="1" applyFill="1" applyBorder="1"/>
    <x:xf numFmtId="200" fontId="5" fillId="6" borderId="11" xfId="0" applyNumberFormat="1" applyFont="1" applyFill="1" applyBorder="1"/>
    <x:xf numFmtId="200" fontId="5" fillId="6" borderId="12" xfId="0" applyNumberFormat="1" applyFont="1" applyFill="1" applyBorder="1"/>
    <x:xf numFmtId="200" fontId="5" fillId="6" borderId="13" xfId="0" applyNumberFormat="1" applyFont="1" applyFill="1" applyBorder="1"/>
    <x:xf numFmtId="200" fontId="5" fillId="6" borderId="0" xfId="0" applyNumberFormat="1" applyFont="1" applyFill="1" applyBorder="1"/>
    <x:xf numFmtId="200" fontId="5" fillId="6" borderId="14" xfId="0" applyNumberFormat="1" applyFont="1" applyFill="1" applyBorder="1"/>
    <x:xf numFmtId="200" fontId="5" fillId="6" borderId="15" xfId="0" applyNumberFormat="1" applyFont="1" applyFill="1" applyBorder="1"/>
    <x:xf numFmtId="200" fontId="5" fillId="6" borderId="8" xfId="0" applyNumberFormat="1" applyFont="1" applyFill="1" applyBorder="1"/>
    <x:xf numFmtId="200" fontId="5" fillId="6" borderId="16" xfId="0" applyNumberFormat="1" applyFont="1" applyFill="1" applyBorder="1"/>
    <x:xf numFmtId="201" fontId="5" fillId="6" borderId="17" xfId="0" applyNumberFormat="1" applyFont="1" applyFill="1" applyBorder="1"/>
    <x:xf numFmtId="201" fontId="5" fillId="6" borderId="3" xfId="0" applyNumberFormat="1" applyFont="1" applyFill="1" applyBorder="1"/>
    <x:xf numFmtId="201" fontId="5" fillId="6" borderId="18" xfId="0" applyNumberFormat="1" applyFont="1" applyFill="1" applyBorder="1"/>
    <x:xf numFmtId="201" fontId="5" fillId="6" borderId="13" xfId="0" applyNumberFormat="1" applyFont="1" applyFill="1" applyBorder="1"/>
    <x:xf numFmtId="201" fontId="5" fillId="6" borderId="0" xfId="0" applyNumberFormat="1" applyFont="1" applyFill="1" applyBorder="1"/>
    <x:xf numFmtId="201" fontId="5" fillId="6" borderId="14" xfId="0" applyNumberFormat="1" applyFont="1" applyFill="1" applyBorder="1"/>
    <x:xf numFmtId="201" fontId="5" fillId="6" borderId="19" xfId="0" applyNumberFormat="1" applyFont="1" applyFill="1" applyBorder="1"/>
    <x:xf numFmtId="201" fontId="5" fillId="6" borderId="20" xfId="0" applyNumberFormat="1" applyFont="1" applyFill="1" applyBorder="1"/>
    <x:xf numFmtId="201" fontId="5" fillId="6" borderId="21" xfId="0" applyNumberFormat="1" applyFont="1" applyFill="1" applyBorder="1"/>
    <x:xf numFmtId="202" fontId="5" fillId="6" borderId="13" xfId="0" applyNumberFormat="1" applyFont="1" applyFill="1" applyBorder="1"/>
    <x:xf numFmtId="202" fontId="5" fillId="6" borderId="0" xfId="0" applyNumberFormat="1" applyFont="1" applyFill="1" applyBorder="1"/>
    <x:xf numFmtId="202" fontId="5" fillId="6" borderId="14" xfId="0" applyNumberFormat="1" applyFont="1" applyFill="1" applyBorder="1"/>
    <x:xf numFmtId="202" fontId="5" fillId="6" borderId="15" xfId="0" applyNumberFormat="1" applyFont="1" applyFill="1" applyBorder="1"/>
    <x:xf numFmtId="202" fontId="5" fillId="6" borderId="8" xfId="0" applyNumberFormat="1" applyFont="1" applyFill="1" applyBorder="1"/>
    <x:xf numFmtId="202" fontId="5" fillId="6" borderId="16" xfId="0" applyNumberFormat="1" applyFont="1" applyFill="1" applyBorder="1"/>
    <x:xf numFmtId="202" fontId="5" fillId="6" borderId="17" xfId="0" applyNumberFormat="1" applyFont="1" applyFill="1" applyBorder="1"/>
    <x:xf numFmtId="202" fontId="5" fillId="6" borderId="3" xfId="0" applyNumberFormat="1" applyFont="1" applyFill="1" applyBorder="1"/>
    <x:xf numFmtId="202" fontId="5" fillId="6" borderId="18" xfId="0" applyNumberFormat="1" applyFont="1" applyFill="1" applyBorder="1"/>
    <x:xf numFmtId="203" fontId="5" fillId="6" borderId="13" xfId="0" applyNumberFormat="1" applyFont="1" applyFill="1" applyBorder="1"/>
    <x:xf numFmtId="203" fontId="5" fillId="6" borderId="0" xfId="0" applyNumberFormat="1" applyFont="1" applyFill="1" applyBorder="1"/>
    <x:xf numFmtId="203" fontId="5" fillId="6" borderId="14" xfId="0" applyNumberFormat="1" applyFont="1" applyFill="1" applyBorder="1"/>
    <x:xf numFmtId="203" fontId="5" fillId="6" borderId="15" xfId="0" applyNumberFormat="1" applyFont="1" applyFill="1" applyBorder="1"/>
    <x:xf numFmtId="203" fontId="5" fillId="6" borderId="8" xfId="0" applyNumberFormat="1" applyFont="1" applyFill="1" applyBorder="1"/>
    <x:xf numFmtId="203" fontId="5" fillId="6" borderId="16" xfId="0" applyNumberFormat="1" applyFont="1" applyFill="1" applyBorder="1"/>
    <x:xf numFmtId="204" fontId="5" fillId="6" borderId="13" xfId="0" applyNumberFormat="1" applyFont="1" applyFill="1" applyBorder="1"/>
    <x:xf numFmtId="204" fontId="5" fillId="6" borderId="0" xfId="0" applyNumberFormat="1" applyFont="1" applyFill="1" applyBorder="1"/>
    <x:xf numFmtId="204" fontId="5" fillId="6" borderId="14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8" fillId="0" borderId="0" xfId="0" applyNumberFormat="1" applyFont="1" applyFill="1" applyBorder="1"/>
    <x:xf numFmtId="0" fontId="6" fillId="4" borderId="1" xfId="0" applyNumberFormat="1" applyFont="1" applyFill="1" applyBorder="1"/>
    <x:xf numFmtId="0" fontId="6" fillId="5" borderId="2" xfId="0" applyNumberFormat="1" applyFont="1" applyFill="1" applyBorder="1"/>
    <x:xf numFmtId="200" fontId="6" fillId="6" borderId="10" xfId="0" applyNumberFormat="1" applyFont="1" applyFill="1" applyBorder="1"/>
    <x:xf numFmtId="200" fontId="6" fillId="6" borderId="11" xfId="0" applyNumberFormat="1" applyFont="1" applyFill="1" applyBorder="1"/>
    <x:xf numFmtId="200" fontId="6" fillId="6" borderId="12" xfId="0" applyNumberFormat="1" applyFont="1" applyFill="1" applyBorder="1"/>
    <x:xf numFmtId="0" fontId="6" fillId="5" borderId="5" xfId="0" applyNumberFormat="1" applyFont="1" applyFill="1" applyBorder="1"/>
    <x:xf numFmtId="200" fontId="6" fillId="6" borderId="13" xfId="0" applyNumberFormat="1" applyFont="1" applyFill="1" applyBorder="1"/>
    <x:xf numFmtId="200" fontId="6" fillId="6" borderId="0" xfId="0" applyNumberFormat="1" applyFont="1" applyFill="1" applyBorder="1"/>
    <x:xf numFmtId="200" fontId="6" fillId="6" borderId="14" xfId="0" applyNumberFormat="1" applyFont="1" applyFill="1" applyBorder="1"/>
    <x:xf numFmtId="0" fontId="6" fillId="5" borderId="7" xfId="0" applyNumberFormat="1" applyFont="1" applyFill="1" applyBorder="1"/>
    <x:xf numFmtId="200" fontId="6" fillId="6" borderId="15" xfId="0" applyNumberFormat="1" applyFont="1" applyFill="1" applyBorder="1"/>
    <x:xf numFmtId="200" fontId="6" fillId="6" borderId="8" xfId="0" applyNumberFormat="1" applyFont="1" applyFill="1" applyBorder="1"/>
    <x:xf numFmtId="200" fontId="6" fillId="6" borderId="16" xfId="0" applyNumberFormat="1" applyFont="1" applyFill="1" applyBorder="1"/>
    <x:xf numFmtId="201" fontId="6" fillId="6" borderId="17" xfId="0" applyNumberFormat="1" applyFont="1" applyFill="1" applyBorder="1"/>
    <x:xf numFmtId="201" fontId="6" fillId="6" borderId="3" xfId="0" applyNumberFormat="1" applyFont="1" applyFill="1" applyBorder="1"/>
    <x:xf numFmtId="201" fontId="6" fillId="6" borderId="18" xfId="0" applyNumberFormat="1" applyFont="1" applyFill="1" applyBorder="1"/>
    <x:xf numFmtId="202" fontId="6" fillId="6" borderId="13" xfId="0" applyNumberFormat="1" applyFont="1" applyFill="1" applyBorder="1"/>
    <x:xf numFmtId="202" fontId="6" fillId="6" borderId="0" xfId="0" applyNumberFormat="1" applyFont="1" applyFill="1" applyBorder="1"/>
    <x:xf numFmtId="202" fontId="6" fillId="6" borderId="14" xfId="0" applyNumberFormat="1" applyFont="1" applyFill="1" applyBorder="1"/>
    <x:xf numFmtId="201" fontId="6" fillId="6" borderId="13" xfId="0" applyNumberFormat="1" applyFont="1" applyFill="1" applyBorder="1"/>
    <x:xf numFmtId="201" fontId="6" fillId="6" borderId="0" xfId="0" applyNumberFormat="1" applyFont="1" applyFill="1" applyBorder="1"/>
    <x:xf numFmtId="201" fontId="6" fillId="6" borderId="14" xfId="0" applyNumberFormat="1" applyFont="1" applyFill="1" applyBorder="1"/>
    <x:xf numFmtId="202" fontId="6" fillId="6" borderId="15" xfId="0" applyNumberFormat="1" applyFont="1" applyFill="1" applyBorder="1"/>
    <x:xf numFmtId="202" fontId="6" fillId="6" borderId="8" xfId="0" applyNumberFormat="1" applyFont="1" applyFill="1" applyBorder="1"/>
    <x:xf numFmtId="202" fontId="6" fillId="6" borderId="16" xfId="0" applyNumberFormat="1" applyFont="1" applyFill="1" applyBorder="1"/>
    <x:xf numFmtId="202" fontId="6" fillId="6" borderId="17" xfId="0" applyNumberFormat="1" applyFont="1" applyFill="1" applyBorder="1"/>
    <x:xf numFmtId="202" fontId="6" fillId="6" borderId="3" xfId="0" applyNumberFormat="1" applyFont="1" applyFill="1" applyBorder="1"/>
    <x:xf numFmtId="202" fontId="6" fillId="6" borderId="18" xfId="0" applyNumberFormat="1" applyFont="1" applyFill="1" applyBorder="1"/>
    <x:xf numFmtId="203" fontId="6" fillId="6" borderId="13" xfId="0" applyNumberFormat="1" applyFont="1" applyFill="1" applyBorder="1"/>
    <x:xf numFmtId="203" fontId="6" fillId="6" borderId="0" xfId="0" applyNumberFormat="1" applyFont="1" applyFill="1" applyBorder="1"/>
    <x:xf numFmtId="203" fontId="6" fillId="6" borderId="14" xfId="0" applyNumberFormat="1" applyFont="1" applyFill="1" applyBorder="1"/>
    <x:xf numFmtId="203" fontId="6" fillId="6" borderId="15" xfId="0" applyNumberFormat="1" applyFont="1" applyFill="1" applyBorder="1"/>
    <x:xf numFmtId="203" fontId="6" fillId="6" borderId="8" xfId="0" applyNumberFormat="1" applyFont="1" applyFill="1" applyBorder="1"/>
    <x:xf numFmtId="203" fontId="6" fillId="6" borderId="16" xfId="0" applyNumberFormat="1" applyFont="1" applyFill="1" applyBorder="1"/>
    <x:xf numFmtId="204" fontId="6" fillId="6" borderId="13" xfId="0" applyNumberFormat="1" applyFont="1" applyFill="1" applyBorder="1"/>
    <x:xf numFmtId="204" fontId="6" fillId="6" borderId="0" xfId="0" applyNumberFormat="1" applyFont="1" applyFill="1" applyBorder="1"/>
    <x:xf numFmtId="204" fontId="6" fillId="6" borderId="14" xfId="0" applyNumberFormat="1" applyFont="1" applyFill="1" applyBorder="1"/>
    <x:xf numFmtId="201" fontId="6" fillId="6" borderId="19" xfId="0" applyNumberFormat="1" applyFont="1" applyFill="1" applyBorder="1"/>
    <x:xf numFmtId="201" fontId="6" fillId="6" borderId="20" xfId="0" applyNumberFormat="1" applyFont="1" applyFill="1" applyBorder="1"/>
    <x:xf numFmtId="201" fontId="6" fillId="6" borderId="21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wrapText="1"/>
    </x:xf>
    <x:xf numFmtId="200" fontId="6" fillId="6" borderId="10" xfId="0" applyNumberFormat="1" applyFont="1" applyFill="1" applyBorder="1" applyAlignment="1">
      <x:alignment wrapText="1"/>
    </x:xf>
    <x:xf numFmtId="200" fontId="6" fillId="6" borderId="11" xfId="0" applyNumberFormat="1" applyFont="1" applyFill="1" applyBorder="1" applyAlignment="1">
      <x:alignment wrapText="1"/>
    </x:xf>
    <x:xf numFmtId="200" fontId="6" fillId="6" borderId="12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wrapText="1"/>
    </x:xf>
    <x:xf numFmtId="200" fontId="6" fillId="6" borderId="13" xfId="0" applyNumberFormat="1" applyFont="1" applyFill="1" applyBorder="1" applyAlignment="1">
      <x:alignment wrapText="1"/>
    </x:xf>
    <x:xf numFmtId="200" fontId="6" fillId="6" borderId="0" xfId="0" applyNumberFormat="1" applyFont="1" applyFill="1" applyBorder="1" applyAlignment="1">
      <x:alignment wrapText="1"/>
    </x:xf>
    <x:xf numFmtId="200" fontId="6" fillId="6" borderId="14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200" fontId="6" fillId="6" borderId="15" xfId="0" applyNumberFormat="1" applyFont="1" applyFill="1" applyBorder="1" applyAlignment="1">
      <x:alignment wrapText="1"/>
    </x:xf>
    <x:xf numFmtId="200" fontId="6" fillId="6" borderId="8" xfId="0" applyNumberFormat="1" applyFont="1" applyFill="1" applyBorder="1" applyAlignment="1">
      <x:alignment wrapText="1"/>
    </x:xf>
    <x:xf numFmtId="200" fontId="6" fillId="6" borderId="16" xfId="0" applyNumberFormat="1" applyFont="1" applyFill="1" applyBorder="1" applyAlignment="1">
      <x:alignment wrapText="1"/>
    </x:xf>
    <x:xf numFmtId="201" fontId="6" fillId="6" borderId="17" xfId="0" applyNumberFormat="1" applyFont="1" applyFill="1" applyBorder="1" applyAlignment="1">
      <x:alignment wrapText="1"/>
    </x:xf>
    <x:xf numFmtId="201" fontId="6" fillId="6" borderId="3" xfId="0" applyNumberFormat="1" applyFont="1" applyFill="1" applyBorder="1" applyAlignment="1">
      <x:alignment wrapText="1"/>
    </x:xf>
    <x:xf numFmtId="201" fontId="6" fillId="6" borderId="18" xfId="0" applyNumberFormat="1" applyFont="1" applyFill="1" applyBorder="1" applyAlignment="1">
      <x:alignment wrapText="1"/>
    </x:xf>
    <x:xf numFmtId="202" fontId="6" fillId="6" borderId="13" xfId="0" applyNumberFormat="1" applyFont="1" applyFill="1" applyBorder="1" applyAlignment="1">
      <x:alignment wrapText="1"/>
    </x:xf>
    <x:xf numFmtId="202" fontId="6" fillId="6" borderId="0" xfId="0" applyNumberFormat="1" applyFont="1" applyFill="1" applyBorder="1" applyAlignment="1">
      <x:alignment wrapText="1"/>
    </x:xf>
    <x:xf numFmtId="202" fontId="6" fillId="6" borderId="14" xfId="0" applyNumberFormat="1" applyFont="1" applyFill="1" applyBorder="1" applyAlignment="1">
      <x:alignment wrapText="1"/>
    </x:xf>
    <x:xf numFmtId="201" fontId="6" fillId="6" borderId="13" xfId="0" applyNumberFormat="1" applyFont="1" applyFill="1" applyBorder="1" applyAlignment="1">
      <x:alignment wrapText="1"/>
    </x:xf>
    <x:xf numFmtId="201" fontId="6" fillId="6" borderId="0" xfId="0" applyNumberFormat="1" applyFont="1" applyFill="1" applyBorder="1" applyAlignment="1">
      <x:alignment wrapText="1"/>
    </x:xf>
    <x:xf numFmtId="201" fontId="6" fillId="6" borderId="14" xfId="0" applyNumberFormat="1" applyFont="1" applyFill="1" applyBorder="1" applyAlignment="1">
      <x:alignment wrapText="1"/>
    </x:xf>
    <x:xf numFmtId="202" fontId="6" fillId="6" borderId="15" xfId="0" applyNumberFormat="1" applyFont="1" applyFill="1" applyBorder="1" applyAlignment="1">
      <x:alignment wrapText="1"/>
    </x:xf>
    <x:xf numFmtId="202" fontId="6" fillId="6" borderId="8" xfId="0" applyNumberFormat="1" applyFont="1" applyFill="1" applyBorder="1" applyAlignment="1">
      <x:alignment wrapText="1"/>
    </x:xf>
    <x:xf numFmtId="202" fontId="6" fillId="6" borderId="16" xfId="0" applyNumberFormat="1" applyFont="1" applyFill="1" applyBorder="1" applyAlignment="1">
      <x:alignment wrapText="1"/>
    </x:xf>
    <x:xf numFmtId="202" fontId="6" fillId="6" borderId="17" xfId="0" applyNumberFormat="1" applyFont="1" applyFill="1" applyBorder="1" applyAlignment="1">
      <x:alignment wrapText="1"/>
    </x:xf>
    <x:xf numFmtId="202" fontId="6" fillId="6" borderId="3" xfId="0" applyNumberFormat="1" applyFont="1" applyFill="1" applyBorder="1" applyAlignment="1">
      <x:alignment wrapText="1"/>
    </x:xf>
    <x:xf numFmtId="202" fontId="6" fillId="6" borderId="18" xfId="0" applyNumberFormat="1" applyFont="1" applyFill="1" applyBorder="1" applyAlignment="1">
      <x:alignment wrapText="1"/>
    </x:xf>
    <x:xf numFmtId="203" fontId="6" fillId="6" borderId="13" xfId="0" applyNumberFormat="1" applyFont="1" applyFill="1" applyBorder="1" applyAlignment="1">
      <x:alignment wrapText="1"/>
    </x:xf>
    <x:xf numFmtId="203" fontId="6" fillId="6" borderId="0" xfId="0" applyNumberFormat="1" applyFont="1" applyFill="1" applyBorder="1" applyAlignment="1">
      <x:alignment wrapText="1"/>
    </x:xf>
    <x:xf numFmtId="203" fontId="6" fillId="6" borderId="14" xfId="0" applyNumberFormat="1" applyFont="1" applyFill="1" applyBorder="1" applyAlignment="1">
      <x:alignment wrapText="1"/>
    </x:xf>
    <x:xf numFmtId="203" fontId="6" fillId="6" borderId="15" xfId="0" applyNumberFormat="1" applyFont="1" applyFill="1" applyBorder="1" applyAlignment="1">
      <x:alignment wrapText="1"/>
    </x:xf>
    <x:xf numFmtId="203" fontId="6" fillId="6" borderId="8" xfId="0" applyNumberFormat="1" applyFont="1" applyFill="1" applyBorder="1" applyAlignment="1">
      <x:alignment wrapText="1"/>
    </x:xf>
    <x:xf numFmtId="203" fontId="6" fillId="6" borderId="16" xfId="0" applyNumberFormat="1" applyFont="1" applyFill="1" applyBorder="1" applyAlignment="1">
      <x:alignment wrapText="1"/>
    </x:xf>
    <x:xf numFmtId="204" fontId="6" fillId="6" borderId="13" xfId="0" applyNumberFormat="1" applyFont="1" applyFill="1" applyBorder="1" applyAlignment="1">
      <x:alignment wrapText="1"/>
    </x:xf>
    <x:xf numFmtId="204" fontId="6" fillId="6" borderId="0" xfId="0" applyNumberFormat="1" applyFont="1" applyFill="1" applyBorder="1" applyAlignment="1">
      <x:alignment wrapText="1"/>
    </x:xf>
    <x:xf numFmtId="204" fontId="6" fillId="6" borderId="14" xfId="0" applyNumberFormat="1" applyFont="1" applyFill="1" applyBorder="1" applyAlignment="1">
      <x:alignment wrapText="1"/>
    </x:xf>
    <x:xf numFmtId="201" fontId="6" fillId="6" borderId="19" xfId="0" applyNumberFormat="1" applyFont="1" applyFill="1" applyBorder="1" applyAlignment="1">
      <x:alignment wrapText="1"/>
    </x:xf>
    <x:xf numFmtId="201" fontId="6" fillId="6" borderId="20" xfId="0" applyNumberFormat="1" applyFont="1" applyFill="1" applyBorder="1" applyAlignment="1">
      <x:alignment wrapText="1"/>
    </x:xf>
    <x:xf numFmtId="201" fontId="6" fillId="6" borderId="2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22" xfId="0" applyNumberFormat="1" applyFont="1" applyFill="1" applyBorder="1"/>
    <x:xf numFmtId="0" fontId="9" fillId="6" borderId="23" xfId="0" applyNumberFormat="1" applyFont="1" applyFill="1" applyBorder="1"/>
    <x:xf numFmtId="0" fontId="9" fillId="6" borderId="24" xfId="0" applyNumberFormat="1" applyFont="1" applyFill="1" applyBorder="1"/>
    <x:xf numFmtId="0" fontId="10" fillId="0" borderId="0" xfId="0" applyNumberFormat="1" applyFont="1" applyFill="1" applyBorder="1"/>
    <x:xf numFmtId="0" fontId="4" fillId="5" borderId="25" xfId="0" applyNumberFormat="1" applyFont="1" applyFill="1" applyBorder="1"/>
    <x:xf numFmtId="0" fontId="4" fillId="5" borderId="26" xfId="0" applyNumberFormat="1" applyFont="1" applyFill="1" applyBorder="1"/>
    <x:xf numFmtId="0" fontId="4" fillId="5" borderId="27" xfId="0" applyNumberFormat="1" applyFont="1" applyFill="1" applyBorder="1"/>
    <x:xf numFmtId="0" fontId="9" fillId="6" borderId="10" xfId="0" applyNumberFormat="1" applyFont="1" applyFill="1" applyBorder="1"/>
    <x:xf numFmtId="0" fontId="9" fillId="6" borderId="11" xfId="0" applyNumberFormat="1" applyFont="1" applyFill="1" applyBorder="1"/>
    <x:xf numFmtId="0" fontId="9" fillId="6" borderId="12" xfId="0" applyNumberFormat="1" applyFont="1" applyFill="1" applyBorder="1"/>
    <x:xf numFmtId="0" fontId="9" fillId="6" borderId="13" xfId="0" applyNumberFormat="1" applyFont="1" applyFill="1" applyBorder="1"/>
    <x:xf numFmtId="0" fontId="9" fillId="6" borderId="14" xfId="0" applyNumberFormat="1" applyFont="1" applyFill="1" applyBorder="1"/>
    <x:xf numFmtId="0" fontId="9" fillId="6" borderId="19" xfId="0" applyNumberFormat="1" applyFont="1" applyFill="1" applyBorder="1"/>
    <x:xf numFmtId="0" fontId="9" fillId="6" borderId="20" xfId="0" applyNumberFormat="1" applyFont="1" applyFill="1" applyBorder="1"/>
    <x:xf numFmtId="0" fontId="9" fillId="6" borderId="21" xfId="0" applyNumberFormat="1" applyFont="1" applyFill="1" applyBorder="1"/>
    <x:xf numFmtId="0" fontId="9" fillId="6" borderId="28" xfId="0" applyNumberFormat="1" applyFont="1" applyFill="1" applyBorder="1"/>
    <x:xf numFmtId="0" fontId="9" fillId="6" borderId="29" xfId="0" applyNumberFormat="1" applyFont="1" applyFill="1" applyBorder="1"/>
    <x:xf numFmtId="0" fontId="9" fillId="6" borderId="30" xfId="0" applyNumberFormat="1" applyFont="1" applyFill="1" applyBorder="1"/>
    <x:xf numFmtId="200" fontId="9" fillId="6" borderId="22" xfId="0" applyNumberFormat="1" applyFont="1" applyFill="1" applyBorder="1"/>
    <x:xf numFmtId="200" fontId="9" fillId="6" borderId="23" xfId="0" applyNumberFormat="1" applyFont="1" applyFill="1" applyBorder="1"/>
    <x:xf numFmtId="200" fontId="9" fillId="6" borderId="24" xfId="0" applyNumberFormat="1" applyFont="1" applyFill="1" applyBorder="1"/>
    <x:xf numFmtId="200" fontId="0" fillId="0" borderId="0" xfId="0" applyNumberFormat="1" applyFont="1" applyFill="1" applyBorder="1"/>
    <x:xf numFmtId="200" fontId="3" fillId="4" borderId="1" xfId="0" applyNumberFormat="1" applyFont="1" applyFill="1" applyBorder="1"/>
    <x:xf numFmtId="201" fontId="10" fillId="0" borderId="0" xfId="0" applyNumberFormat="1" applyFont="1" applyFill="1" applyBorder="1"/>
    <x:xf numFmtId="201" fontId="4" fillId="5" borderId="26" xfId="0" applyNumberFormat="1" applyFont="1" applyFill="1" applyBorder="1"/>
    <x:xf numFmtId="203" fontId="9" fillId="6" borderId="10" xfId="0" applyNumberFormat="1" applyFont="1" applyFill="1" applyBorder="1"/>
    <x:xf numFmtId="203" fontId="9" fillId="6" borderId="11" xfId="0" applyNumberFormat="1" applyFont="1" applyFill="1" applyBorder="1"/>
    <x:xf numFmtId="203" fontId="9" fillId="6" borderId="12" xfId="0" applyNumberFormat="1" applyFont="1" applyFill="1" applyBorder="1"/>
    <x:xf numFmtId="203" fontId="9" fillId="6" borderId="13" xfId="0" applyNumberFormat="1" applyFont="1" applyFill="1" applyBorder="1"/>
    <x:xf numFmtId="203" fontId="9" fillId="6" borderId="0" xfId="0" applyNumberFormat="1" applyFont="1" applyFill="1" applyBorder="1"/>
    <x:xf numFmtId="203" fontId="9" fillId="6" borderId="14" xfId="0" applyNumberFormat="1" applyFont="1" applyFill="1" applyBorder="1"/>
    <x:xf numFmtId="203" fontId="9" fillId="6" borderId="19" xfId="0" applyNumberFormat="1" applyFont="1" applyFill="1" applyBorder="1"/>
    <x:xf numFmtId="203" fontId="9" fillId="6" borderId="20" xfId="0" applyNumberFormat="1" applyFont="1" applyFill="1" applyBorder="1"/>
    <x:xf numFmtId="203" fontId="9" fillId="6" borderId="21" xfId="0" applyNumberFormat="1" applyFont="1" applyFill="1" applyBorder="1"/>
    <x:xf numFmtId="203" fontId="4" fillId="5" borderId="3" xfId="0" applyNumberFormat="1" applyFont="1" applyFill="1" applyBorder="1"/>
    <x:xf numFmtId="203" fontId="4" fillId="5" borderId="4" xfId="0" applyNumberFormat="1" applyFont="1" applyFill="1" applyBorder="1"/>
    <x:xf numFmtId="203" fontId="4" fillId="5" borderId="0" xfId="0" applyNumberFormat="1" applyFont="1" applyFill="1" applyBorder="1"/>
    <x:xf numFmtId="203" fontId="4" fillId="5" borderId="6" xfId="0" applyNumberFormat="1" applyFont="1" applyFill="1" applyBorder="1"/>
    <x:xf numFmtId="203" fontId="4" fillId="5" borderId="8" xfId="0" applyNumberFormat="1" applyFont="1" applyFill="1" applyBorder="1"/>
    <x:xf numFmtId="203" fontId="4" fillId="5" borderId="9" xfId="0" applyNumberFormat="1" applyFont="1" applyFill="1" applyBorder="1"/>
    <x:xf numFmtId="201" fontId="0" fillId="0" borderId="0" xfId="0" applyNumberFormat="1" applyFont="1" applyFill="1" applyBorder="1"/>
    <x:xf numFmtId="201" fontId="9" fillId="6" borderId="28" xfId="0" applyNumberFormat="1" applyFont="1" applyFill="1" applyBorder="1"/>
    <x:xf numFmtId="201" fontId="9" fillId="6" borderId="29" xfId="0" applyNumberFormat="1" applyFont="1" applyFill="1" applyBorder="1"/>
    <x:xf numFmtId="201" fontId="9" fillId="6" borderId="30" xfId="0" applyNumberFormat="1" applyFont="1" applyFill="1" applyBorder="1"/>
    <x:xf numFmtId="201" fontId="4" fillId="5" borderId="3" xfId="0" applyNumberFormat="1" applyFont="1" applyFill="1" applyBorder="1"/>
    <x:xf numFmtId="201" fontId="4" fillId="5" borderId="4" xfId="0" applyNumberFormat="1" applyFont="1" applyFill="1" applyBorder="1"/>
    <x:xf numFmtId="202" fontId="9" fillId="6" borderId="28" xfId="0" applyNumberFormat="1" applyFont="1" applyFill="1" applyBorder="1"/>
    <x:xf numFmtId="202" fontId="9" fillId="6" borderId="29" xfId="0" applyNumberFormat="1" applyFont="1" applyFill="1" applyBorder="1"/>
    <x:xf numFmtId="202" fontId="9" fillId="6" borderId="30" xfId="0" applyNumberFormat="1" applyFont="1" applyFill="1" applyBorder="1"/>
    <x:xf numFmtId="202" fontId="9" fillId="6" borderId="10" xfId="0" applyNumberFormat="1" applyFont="1" applyFill="1" applyBorder="1"/>
    <x:xf numFmtId="202" fontId="9" fillId="6" borderId="11" xfId="0" applyNumberFormat="1" applyFont="1" applyFill="1" applyBorder="1"/>
    <x:xf numFmtId="202" fontId="9" fillId="6" borderId="12" xfId="0" applyNumberFormat="1" applyFont="1" applyFill="1" applyBorder="1"/>
    <x:xf numFmtId="202" fontId="9" fillId="6" borderId="13" xfId="0" applyNumberFormat="1" applyFont="1" applyFill="1" applyBorder="1"/>
    <x:xf numFmtId="202" fontId="9" fillId="6" borderId="0" xfId="0" applyNumberFormat="1" applyFont="1" applyFill="1" applyBorder="1"/>
    <x:xf numFmtId="202" fontId="9" fillId="6" borderId="14" xfId="0" applyNumberFormat="1" applyFont="1" applyFill="1" applyBorder="1"/>
    <x:xf numFmtId="202" fontId="9" fillId="6" borderId="19" xfId="0" applyNumberFormat="1" applyFont="1" applyFill="1" applyBorder="1"/>
    <x:xf numFmtId="202" fontId="9" fillId="6" borderId="20" xfId="0" applyNumberFormat="1" applyFont="1" applyFill="1" applyBorder="1"/>
    <x:xf numFmtId="202" fontId="9" fillId="6" borderId="21" xfId="0" applyNumberFormat="1" applyFont="1" applyFill="1" applyBorder="1"/>
    <x:xf numFmtId="201" fontId="4" fillId="5" borderId="27" xfId="0" applyNumberFormat="1" applyFont="1" applyFill="1" applyBorder="1"/>
    <x:xf numFmtId="200" fontId="8" fillId="6" borderId="22" xfId="0" applyNumberFormat="1" applyFont="1" applyFill="1" applyBorder="1"/>
    <x:xf numFmtId="200" fontId="8" fillId="0" borderId="0" xfId="0" applyNumberFormat="1" applyFont="1" applyFill="1" applyBorder="1"/>
    <x:xf numFmtId="200" fontId="8" fillId="6" borderId="23" xfId="0" applyNumberFormat="1" applyFont="1" applyFill="1" applyBorder="1"/>
    <x:xf numFmtId="200" fontId="8" fillId="6" borderId="24" xfId="0" applyNumberFormat="1" applyFont="1" applyFill="1" applyBorder="1"/>
    <x:xf numFmtId="200" fontId="6" fillId="4" borderId="1" xfId="0" applyNumberFormat="1" applyFont="1" applyFill="1" applyBorder="1"/>
    <x:xf numFmtId="201" fontId="8" fillId="0" borderId="0" xfId="0" applyNumberFormat="1" applyFont="1" applyFill="1" applyBorder="1"/>
    <x:xf numFmtId="0" fontId="6" fillId="5" borderId="25" xfId="0" applyNumberFormat="1" applyFont="1" applyFill="1" applyBorder="1"/>
    <x:xf numFmtId="201" fontId="6" fillId="5" borderId="26" xfId="0" applyNumberFormat="1" applyFont="1" applyFill="1" applyBorder="1"/>
    <x:xf numFmtId="0" fontId="6" fillId="5" borderId="26" xfId="0" applyNumberFormat="1" applyFont="1" applyFill="1" applyBorder="1"/>
    <x:xf numFmtId="0" fontId="6" fillId="5" borderId="27" xfId="0" applyNumberFormat="1" applyFont="1" applyFill="1" applyBorder="1"/>
    <x:xf numFmtId="203" fontId="8" fillId="6" borderId="10" xfId="0" applyNumberFormat="1" applyFont="1" applyFill="1" applyBorder="1"/>
    <x:xf numFmtId="203" fontId="8" fillId="6" borderId="11" xfId="0" applyNumberFormat="1" applyFont="1" applyFill="1" applyBorder="1"/>
    <x:xf numFmtId="203" fontId="8" fillId="6" borderId="12" xfId="0" applyNumberFormat="1" applyFont="1" applyFill="1" applyBorder="1"/>
    <x:xf numFmtId="203" fontId="8" fillId="6" borderId="13" xfId="0" applyNumberFormat="1" applyFont="1" applyFill="1" applyBorder="1"/>
    <x:xf numFmtId="203" fontId="8" fillId="6" borderId="0" xfId="0" applyNumberFormat="1" applyFont="1" applyFill="1" applyBorder="1"/>
    <x:xf numFmtId="203" fontId="8" fillId="6" borderId="14" xfId="0" applyNumberFormat="1" applyFont="1" applyFill="1" applyBorder="1"/>
    <x:xf numFmtId="203" fontId="8" fillId="6" borderId="19" xfId="0" applyNumberFormat="1" applyFont="1" applyFill="1" applyBorder="1"/>
    <x:xf numFmtId="203" fontId="8" fillId="6" borderId="20" xfId="0" applyNumberFormat="1" applyFont="1" applyFill="1" applyBorder="1"/>
    <x:xf numFmtId="203" fontId="8" fillId="6" borderId="21" xfId="0" applyNumberFormat="1" applyFont="1" applyFill="1" applyBorder="1"/>
    <x:xf numFmtId="203" fontId="6" fillId="5" borderId="3" xfId="0" applyNumberFormat="1" applyFont="1" applyFill="1" applyBorder="1"/>
    <x:xf numFmtId="203" fontId="6" fillId="5" borderId="4" xfId="0" applyNumberFormat="1" applyFont="1" applyFill="1" applyBorder="1"/>
    <x:xf numFmtId="203" fontId="6" fillId="5" borderId="0" xfId="0" applyNumberFormat="1" applyFont="1" applyFill="1" applyBorder="1"/>
    <x:xf numFmtId="203" fontId="6" fillId="5" borderId="6" xfId="0" applyNumberFormat="1" applyFont="1" applyFill="1" applyBorder="1"/>
    <x:xf numFmtId="203" fontId="6" fillId="5" borderId="8" xfId="0" applyNumberFormat="1" applyFont="1" applyFill="1" applyBorder="1"/>
    <x:xf numFmtId="203" fontId="6" fillId="5" borderId="9" xfId="0" applyNumberFormat="1" applyFont="1" applyFill="1" applyBorder="1"/>
    <x:xf numFmtId="202" fontId="8" fillId="6" borderId="28" xfId="0" applyNumberFormat="1" applyFont="1" applyFill="1" applyBorder="1"/>
    <x:xf numFmtId="202" fontId="8" fillId="6" borderId="29" xfId="0" applyNumberFormat="1" applyFont="1" applyFill="1" applyBorder="1"/>
    <x:xf numFmtId="202" fontId="8" fillId="6" borderId="30" xfId="0" applyNumberFormat="1" applyFont="1" applyFill="1" applyBorder="1"/>
    <x:xf numFmtId="201" fontId="6" fillId="5" borderId="3" xfId="0" applyNumberFormat="1" applyFont="1" applyFill="1" applyBorder="1"/>
    <x:xf numFmtId="201" fontId="6" fillId="5" borderId="4" xfId="0" applyNumberFormat="1" applyFont="1" applyFill="1" applyBorder="1"/>
    <x:xf numFmtId="202" fontId="8" fillId="6" borderId="10" xfId="0" applyNumberFormat="1" applyFont="1" applyFill="1" applyBorder="1"/>
    <x:xf numFmtId="202" fontId="8" fillId="6" borderId="11" xfId="0" applyNumberFormat="1" applyFont="1" applyFill="1" applyBorder="1"/>
    <x:xf numFmtId="202" fontId="8" fillId="6" borderId="12" xfId="0" applyNumberFormat="1" applyFont="1" applyFill="1" applyBorder="1"/>
    <x:xf numFmtId="202" fontId="8" fillId="6" borderId="13" xfId="0" applyNumberFormat="1" applyFont="1" applyFill="1" applyBorder="1"/>
    <x:xf numFmtId="202" fontId="8" fillId="6" borderId="0" xfId="0" applyNumberFormat="1" applyFont="1" applyFill="1" applyBorder="1"/>
    <x:xf numFmtId="202" fontId="8" fillId="6" borderId="14" xfId="0" applyNumberFormat="1" applyFont="1" applyFill="1" applyBorder="1"/>
    <x:xf numFmtId="202" fontId="8" fillId="6" borderId="19" xfId="0" applyNumberFormat="1" applyFont="1" applyFill="1" applyBorder="1"/>
    <x:xf numFmtId="202" fontId="8" fillId="6" borderId="20" xfId="0" applyNumberFormat="1" applyFont="1" applyFill="1" applyBorder="1"/>
    <x:xf numFmtId="202" fontId="8" fillId="6" borderId="21" xfId="0" applyNumberFormat="1" applyFont="1" applyFill="1" applyBorder="1"/>
    <x:xf numFmtId="201" fontId="6" fillId="5" borderId="27" xfId="0" applyNumberFormat="1" applyFont="1" applyFill="1" applyBorder="1"/>
    <x:xf numFmtId="200" fontId="8" fillId="6" borderId="22" xfId="0" applyNumberFormat="1" applyFont="1" applyFill="1" applyBorder="1" applyAlignment="1">
      <x:alignment wrapText="1"/>
    </x:xf>
    <x:xf numFmtId="200" fontId="8" fillId="0" borderId="0" xfId="0" applyNumberFormat="1" applyFont="1" applyFill="1" applyBorder="1" applyAlignment="1">
      <x:alignment wrapText="1"/>
    </x:xf>
    <x:xf numFmtId="200" fontId="8" fillId="6" borderId="23" xfId="0" applyNumberFormat="1" applyFont="1" applyFill="1" applyBorder="1" applyAlignment="1">
      <x:alignment wrapText="1"/>
    </x:xf>
    <x:xf numFmtId="200" fontId="8" fillId="6" borderId="24" xfId="0" applyNumberFormat="1" applyFont="1" applyFill="1" applyBorder="1" applyAlignment="1">
      <x:alignment wrapText="1"/>
    </x:xf>
    <x:xf numFmtId="200" fontId="6" fillId="4" borderId="1" xfId="0" applyNumberFormat="1" applyFont="1" applyFill="1" applyBorder="1" applyAlignment="1">
      <x:alignment wrapText="1"/>
    </x:xf>
    <x:xf numFmtId="201" fontId="8" fillId="0" borderId="0" xfId="0" applyNumberFormat="1" applyFont="1" applyFill="1" applyBorder="1" applyAlignment="1">
      <x:alignment wrapText="1"/>
    </x:xf>
    <x:xf numFmtId="0" fontId="6" fillId="5" borderId="25" xfId="0" applyNumberFormat="1" applyFont="1" applyFill="1" applyBorder="1" applyAlignment="1">
      <x:alignment wrapText="1"/>
    </x:xf>
    <x:xf numFmtId="201" fontId="6" fillId="5" borderId="26" xfId="0" applyNumberFormat="1" applyFont="1" applyFill="1" applyBorder="1" applyAlignment="1">
      <x:alignment wrapText="1"/>
    </x:xf>
    <x:xf numFmtId="0" fontId="6" fillId="5" borderId="26" xfId="0" applyNumberFormat="1" applyFont="1" applyFill="1" applyBorder="1" applyAlignment="1">
      <x:alignment wrapText="1"/>
    </x:xf>
    <x:xf numFmtId="0" fontId="6" fillId="5" borderId="27" xfId="0" applyNumberFormat="1" applyFont="1" applyFill="1" applyBorder="1" applyAlignment="1">
      <x:alignment wrapText="1"/>
    </x:xf>
    <x:xf numFmtId="203" fontId="8" fillId="6" borderId="10" xfId="0" applyNumberFormat="1" applyFont="1" applyFill="1" applyBorder="1" applyAlignment="1">
      <x:alignment wrapText="1"/>
    </x:xf>
    <x:xf numFmtId="203" fontId="8" fillId="6" borderId="11" xfId="0" applyNumberFormat="1" applyFont="1" applyFill="1" applyBorder="1" applyAlignment="1">
      <x:alignment wrapText="1"/>
    </x:xf>
    <x:xf numFmtId="203" fontId="8" fillId="6" borderId="12" xfId="0" applyNumberFormat="1" applyFont="1" applyFill="1" applyBorder="1" applyAlignment="1">
      <x:alignment wrapText="1"/>
    </x:xf>
    <x:xf numFmtId="203" fontId="8" fillId="6" borderId="13" xfId="0" applyNumberFormat="1" applyFont="1" applyFill="1" applyBorder="1" applyAlignment="1">
      <x:alignment wrapText="1"/>
    </x:xf>
    <x:xf numFmtId="203" fontId="8" fillId="6" borderId="0" xfId="0" applyNumberFormat="1" applyFont="1" applyFill="1" applyBorder="1" applyAlignment="1">
      <x:alignment wrapText="1"/>
    </x:xf>
    <x:xf numFmtId="203" fontId="8" fillId="6" borderId="14" xfId="0" applyNumberFormat="1" applyFont="1" applyFill="1" applyBorder="1" applyAlignment="1">
      <x:alignment wrapText="1"/>
    </x:xf>
    <x:xf numFmtId="203" fontId="8" fillId="6" borderId="19" xfId="0" applyNumberFormat="1" applyFont="1" applyFill="1" applyBorder="1" applyAlignment="1">
      <x:alignment wrapText="1"/>
    </x:xf>
    <x:xf numFmtId="203" fontId="8" fillId="6" borderId="20" xfId="0" applyNumberFormat="1" applyFont="1" applyFill="1" applyBorder="1" applyAlignment="1">
      <x:alignment wrapText="1"/>
    </x:xf>
    <x:xf numFmtId="203" fontId="8" fillId="6" borderId="21" xfId="0" applyNumberFormat="1" applyFont="1" applyFill="1" applyBorder="1" applyAlignment="1">
      <x:alignment wrapText="1"/>
    </x:xf>
    <x:xf numFmtId="203" fontId="6" fillId="5" borderId="3" xfId="0" applyNumberFormat="1" applyFont="1" applyFill="1" applyBorder="1" applyAlignment="1">
      <x:alignment wrapText="1"/>
    </x:xf>
    <x:xf numFmtId="203" fontId="6" fillId="5" borderId="4" xfId="0" applyNumberFormat="1" applyFont="1" applyFill="1" applyBorder="1" applyAlignment="1">
      <x:alignment wrapText="1"/>
    </x:xf>
    <x:xf numFmtId="203" fontId="6" fillId="5" borderId="0" xfId="0" applyNumberFormat="1" applyFont="1" applyFill="1" applyBorder="1" applyAlignment="1">
      <x:alignment wrapText="1"/>
    </x:xf>
    <x:xf numFmtId="203" fontId="6" fillId="5" borderId="6" xfId="0" applyNumberFormat="1" applyFont="1" applyFill="1" applyBorder="1" applyAlignment="1">
      <x:alignment wrapText="1"/>
    </x:xf>
    <x:xf numFmtId="203" fontId="6" fillId="5" borderId="8" xfId="0" applyNumberFormat="1" applyFont="1" applyFill="1" applyBorder="1" applyAlignment="1">
      <x:alignment wrapText="1"/>
    </x:xf>
    <x:xf numFmtId="203" fontId="6" fillId="5" borderId="9" xfId="0" applyNumberFormat="1" applyFont="1" applyFill="1" applyBorder="1" applyAlignment="1">
      <x:alignment wrapText="1"/>
    </x:xf>
    <x:xf numFmtId="202" fontId="8" fillId="6" borderId="28" xfId="0" applyNumberFormat="1" applyFont="1" applyFill="1" applyBorder="1" applyAlignment="1">
      <x:alignment wrapText="1"/>
    </x:xf>
    <x:xf numFmtId="202" fontId="8" fillId="6" borderId="29" xfId="0" applyNumberFormat="1" applyFont="1" applyFill="1" applyBorder="1" applyAlignment="1">
      <x:alignment wrapText="1"/>
    </x:xf>
    <x:xf numFmtId="202" fontId="8" fillId="6" borderId="30" xfId="0" applyNumberFormat="1" applyFont="1" applyFill="1" applyBorder="1" applyAlignment="1">
      <x:alignment wrapText="1"/>
    </x:xf>
    <x:xf numFmtId="201" fontId="6" fillId="5" borderId="3" xfId="0" applyNumberFormat="1" applyFont="1" applyFill="1" applyBorder="1" applyAlignment="1">
      <x:alignment wrapText="1"/>
    </x:xf>
    <x:xf numFmtId="201" fontId="6" fillId="5" borderId="4" xfId="0" applyNumberFormat="1" applyFont="1" applyFill="1" applyBorder="1" applyAlignment="1">
      <x:alignment wrapText="1"/>
    </x:xf>
    <x:xf numFmtId="202" fontId="8" fillId="6" borderId="10" xfId="0" applyNumberFormat="1" applyFont="1" applyFill="1" applyBorder="1" applyAlignment="1">
      <x:alignment wrapText="1"/>
    </x:xf>
    <x:xf numFmtId="202" fontId="8" fillId="6" borderId="11" xfId="0" applyNumberFormat="1" applyFont="1" applyFill="1" applyBorder="1" applyAlignment="1">
      <x:alignment wrapText="1"/>
    </x:xf>
    <x:xf numFmtId="202" fontId="8" fillId="6" borderId="12" xfId="0" applyNumberFormat="1" applyFont="1" applyFill="1" applyBorder="1" applyAlignment="1">
      <x:alignment wrapText="1"/>
    </x:xf>
    <x:xf numFmtId="202" fontId="8" fillId="6" borderId="13" xfId="0" applyNumberFormat="1" applyFont="1" applyFill="1" applyBorder="1" applyAlignment="1">
      <x:alignment wrapText="1"/>
    </x:xf>
    <x:xf numFmtId="202" fontId="8" fillId="6" borderId="0" xfId="0" applyNumberFormat="1" applyFont="1" applyFill="1" applyBorder="1" applyAlignment="1">
      <x:alignment wrapText="1"/>
    </x:xf>
    <x:xf numFmtId="202" fontId="8" fillId="6" borderId="14" xfId="0" applyNumberFormat="1" applyFont="1" applyFill="1" applyBorder="1" applyAlignment="1">
      <x:alignment wrapText="1"/>
    </x:xf>
    <x:xf numFmtId="202" fontId="8" fillId="6" borderId="19" xfId="0" applyNumberFormat="1" applyFont="1" applyFill="1" applyBorder="1" applyAlignment="1">
      <x:alignment wrapText="1"/>
    </x:xf>
    <x:xf numFmtId="202" fontId="8" fillId="6" borderId="20" xfId="0" applyNumberFormat="1" applyFont="1" applyFill="1" applyBorder="1" applyAlignment="1">
      <x:alignment wrapText="1"/>
    </x:xf>
    <x:xf numFmtId="202" fontId="8" fillId="6" borderId="21" xfId="0" applyNumberFormat="1" applyFont="1" applyFill="1" applyBorder="1" applyAlignment="1">
      <x:alignment wrapText="1"/>
    </x:xf>
    <x:xf numFmtId="201" fontId="6" fillId="5" borderId="27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0" fontId="4" fillId="5" borderId="26" xfId="0" applyNumberFormat="1" applyFont="1" applyFill="1" applyBorder="1"/>
    <x:xf numFmtId="202" fontId="8" fillId="0" borderId="0" xfId="0" applyNumberFormat="1" applyFont="1" applyFill="1" applyBorder="1"/>
    <x:xf numFmtId="200" fontId="6" fillId="5" borderId="26" xfId="0" applyNumberFormat="1" applyFont="1" applyFill="1" applyBorder="1"/>
    <x:xf numFmtId="202" fontId="8" fillId="0" borderId="0" xfId="0" applyNumberFormat="1" applyFont="1" applyFill="1" applyBorder="1" applyAlignment="1">
      <x:alignment wrapText="1"/>
    </x:xf>
    <x:xf numFmtId="200" fontId="6" fillId="5" borderId="26" xfId="0" applyNumberFormat="1" applyFont="1" applyFill="1" applyBorder="1" applyAlignment="1">
      <x:alignment wrapText="1"/>
    </x:xf>
    <x:xf numFmtId="202" fontId="4" fillId="5" borderId="26" xfId="0" applyNumberFormat="1" applyFont="1" applyFill="1" applyBorder="1"/>
    <x:xf numFmtId="202" fontId="6" fillId="5" borderId="26" xfId="0" applyNumberFormat="1" applyFont="1" applyFill="1" applyBorder="1"/>
    <x:xf numFmtId="202" fontId="6" fillId="5" borderId="26" xfId="0" applyNumberFormat="1" applyFont="1" applyFill="1" applyBorder="1" applyAlignment="1">
      <x:alignment wrapText="1"/>
    </x:xf>
    <x:xf numFmtId="200" fontId="4" fillId="5" borderId="3" xfId="0" applyNumberFormat="1" applyFont="1" applyFill="1" applyBorder="1"/>
    <x:xf numFmtId="20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6" xfId="0" applyNumberFormat="1" applyFont="1" applyFill="1" applyBorder="1"/>
    <x:xf numFmtId="0" fontId="6" fillId="5" borderId="9" xfId="0" applyNumberFormat="1" applyFont="1" applyFill="1" applyBorder="1"/>
    <x:xf numFmtId="20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8" fillId="0" borderId="0" xfId="0" applyNumberFormat="1" applyFont="1" applyFill="1" applyBorder="1"/>
    <x:xf numFmtId="204" fontId="8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4" fillId="5" borderId="26" xfId="0" applyNumberFormat="1" applyFont="1" applyFill="1" applyBorder="1"/>
    <x:xf numFmtId="203" fontId="4" fillId="5" borderId="27" xfId="0" applyNumberFormat="1" applyFont="1" applyFill="1" applyBorder="1"/>
    <x:xf numFmtId="203" fontId="8" fillId="0" borderId="0" xfId="0" applyNumberFormat="1" applyFont="1" applyFill="1" applyBorder="1"/>
    <x:xf numFmtId="203" fontId="6" fillId="5" borderId="26" xfId="0" applyNumberFormat="1" applyFont="1" applyFill="1" applyBorder="1"/>
    <x:xf numFmtId="203" fontId="6" fillId="5" borderId="27" xfId="0" applyNumberFormat="1" applyFont="1" applyFill="1" applyBorder="1"/>
    <x:xf numFmtId="203" fontId="8" fillId="0" borderId="0" xfId="0" applyNumberFormat="1" applyFont="1" applyFill="1" applyBorder="1" applyAlignment="1">
      <x:alignment wrapText="1"/>
    </x:xf>
    <x:xf numFmtId="203" fontId="6" fillId="5" borderId="26" xfId="0" applyNumberFormat="1" applyFont="1" applyFill="1" applyBorder="1" applyAlignment="1">
      <x:alignment wrapText="1"/>
    </x:xf>
    <x:xf numFmtId="203" fontId="6" fillId="5" borderId="27" xfId="0" applyNumberFormat="1" applyFont="1" applyFill="1" applyBorder="1" applyAlignment="1">
      <x:alignment wrapText="1"/>
    </x:xf>
    <x:xf numFmtId="204" fontId="9" fillId="6" borderId="10" xfId="0" applyNumberFormat="1" applyFont="1" applyFill="1" applyBorder="1"/>
    <x:xf numFmtId="204" fontId="9" fillId="6" borderId="11" xfId="0" applyNumberFormat="1" applyFont="1" applyFill="1" applyBorder="1"/>
    <x:xf numFmtId="204" fontId="9" fillId="6" borderId="12" xfId="0" applyNumberFormat="1" applyFont="1" applyFill="1" applyBorder="1"/>
    <x:xf numFmtId="204" fontId="9" fillId="6" borderId="13" xfId="0" applyNumberFormat="1" applyFont="1" applyFill="1" applyBorder="1"/>
    <x:xf numFmtId="204" fontId="9" fillId="6" borderId="0" xfId="0" applyNumberFormat="1" applyFont="1" applyFill="1" applyBorder="1"/>
    <x:xf numFmtId="204" fontId="9" fillId="6" borderId="14" xfId="0" applyNumberFormat="1" applyFont="1" applyFill="1" applyBorder="1"/>
    <x:xf numFmtId="204" fontId="9" fillId="6" borderId="19" xfId="0" applyNumberFormat="1" applyFont="1" applyFill="1" applyBorder="1"/>
    <x:xf numFmtId="204" fontId="9" fillId="6" borderId="20" xfId="0" applyNumberFormat="1" applyFont="1" applyFill="1" applyBorder="1"/>
    <x:xf numFmtId="204" fontId="9" fillId="6" borderId="21" xfId="0" applyNumberFormat="1" applyFont="1" applyFill="1" applyBorder="1"/>
    <x:xf numFmtId="202" fontId="4" fillId="5" borderId="8" xfId="0" applyNumberFormat="1" applyFont="1" applyFill="1" applyBorder="1"/>
    <x:xf numFmtId="202" fontId="4" fillId="5" borderId="9" xfId="0" applyNumberFormat="1" applyFont="1" applyFill="1" applyBorder="1"/>
    <x:xf numFmtId="204" fontId="8" fillId="6" borderId="10" xfId="0" applyNumberFormat="1" applyFont="1" applyFill="1" applyBorder="1"/>
    <x:xf numFmtId="204" fontId="8" fillId="6" borderId="11" xfId="0" applyNumberFormat="1" applyFont="1" applyFill="1" applyBorder="1"/>
    <x:xf numFmtId="204" fontId="8" fillId="6" borderId="12" xfId="0" applyNumberFormat="1" applyFont="1" applyFill="1" applyBorder="1"/>
    <x:xf numFmtId="204" fontId="8" fillId="6" borderId="13" xfId="0" applyNumberFormat="1" applyFont="1" applyFill="1" applyBorder="1"/>
    <x:xf numFmtId="204" fontId="8" fillId="6" borderId="0" xfId="0" applyNumberFormat="1" applyFont="1" applyFill="1" applyBorder="1"/>
    <x:xf numFmtId="204" fontId="8" fillId="6" borderId="14" xfId="0" applyNumberFormat="1" applyFont="1" applyFill="1" applyBorder="1"/>
    <x:xf numFmtId="204" fontId="8" fillId="6" borderId="19" xfId="0" applyNumberFormat="1" applyFont="1" applyFill="1" applyBorder="1"/>
    <x:xf numFmtId="204" fontId="8" fillId="6" borderId="20" xfId="0" applyNumberFormat="1" applyFont="1" applyFill="1" applyBorder="1"/>
    <x:xf numFmtId="204" fontId="8" fillId="6" borderId="21" xfId="0" applyNumberFormat="1" applyFont="1" applyFill="1" applyBorder="1"/>
    <x:xf numFmtId="202" fontId="6" fillId="5" borderId="8" xfId="0" applyNumberFormat="1" applyFont="1" applyFill="1" applyBorder="1"/>
    <x:xf numFmtId="202" fontId="6" fillId="5" borderId="9" xfId="0" applyNumberFormat="1" applyFont="1" applyFill="1" applyBorder="1"/>
    <x:xf numFmtId="204" fontId="8" fillId="6" borderId="10" xfId="0" applyNumberFormat="1" applyFont="1" applyFill="1" applyBorder="1" applyAlignment="1">
      <x:alignment wrapText="1"/>
    </x:xf>
    <x:xf numFmtId="204" fontId="8" fillId="6" borderId="11" xfId="0" applyNumberFormat="1" applyFont="1" applyFill="1" applyBorder="1" applyAlignment="1">
      <x:alignment wrapText="1"/>
    </x:xf>
    <x:xf numFmtId="204" fontId="8" fillId="6" borderId="12" xfId="0" applyNumberFormat="1" applyFont="1" applyFill="1" applyBorder="1" applyAlignment="1">
      <x:alignment wrapText="1"/>
    </x:xf>
    <x:xf numFmtId="204" fontId="8" fillId="6" borderId="13" xfId="0" applyNumberFormat="1" applyFont="1" applyFill="1" applyBorder="1" applyAlignment="1">
      <x:alignment wrapText="1"/>
    </x:xf>
    <x:xf numFmtId="204" fontId="8" fillId="6" borderId="0" xfId="0" applyNumberFormat="1" applyFont="1" applyFill="1" applyBorder="1" applyAlignment="1">
      <x:alignment wrapText="1"/>
    </x:xf>
    <x:xf numFmtId="204" fontId="8" fillId="6" borderId="14" xfId="0" applyNumberFormat="1" applyFont="1" applyFill="1" applyBorder="1" applyAlignment="1">
      <x:alignment wrapText="1"/>
    </x:xf>
    <x:xf numFmtId="204" fontId="8" fillId="6" borderId="19" xfId="0" applyNumberFormat="1" applyFont="1" applyFill="1" applyBorder="1" applyAlignment="1">
      <x:alignment wrapText="1"/>
    </x:xf>
    <x:xf numFmtId="204" fontId="8" fillId="6" borderId="20" xfId="0" applyNumberFormat="1" applyFont="1" applyFill="1" applyBorder="1" applyAlignment="1">
      <x:alignment wrapText="1"/>
    </x:xf>
    <x:xf numFmtId="204" fontId="8" fillId="6" borderId="21" xfId="0" applyNumberFormat="1" applyFont="1" applyFill="1" applyBorder="1" applyAlignment="1">
      <x:alignment wrapText="1"/>
    </x:xf>
    <x:xf numFmtId="202" fontId="6" fillId="5" borderId="8" xfId="0" applyNumberFormat="1" applyFont="1" applyFill="1" applyBorder="1" applyAlignment="1">
      <x:alignment wrapText="1"/>
    </x:xf>
    <x:xf numFmtId="202" fontId="6" fillId="5" borderId="9" xfId="0" applyNumberFormat="1" applyFont="1" applyFill="1" applyBorder="1" applyAlignment="1">
      <x:alignment wrapText="1"/>
    </x:xf>
    <x:xf numFmtId="200" fontId="0" fillId="5" borderId="0" xfId="0" applyNumberFormat="1" applyFont="1" applyFill="1" applyBorder="1"/>
    <x:xf numFmtId="200" fontId="4" fillId="5" borderId="0" xfId="0" applyNumberFormat="1" applyFont="1" applyFill="1" applyBorder="1"/>
    <x:xf numFmtId="200" fontId="4" fillId="5" borderId="8" xfId="0" applyNumberFormat="1" applyFont="1" applyFill="1" applyBorder="1"/>
    <x:xf numFmtId="203" fontId="0" fillId="5" borderId="0" xfId="0" applyNumberFormat="1" applyFont="1" applyFill="1" applyBorder="1"/>
    <x:xf numFmtId="202" fontId="0" fillId="5" borderId="0" xfId="0" applyNumberFormat="1" applyFont="1" applyFill="1" applyBorder="1"/>
    <x:xf numFmtId="201" fontId="0" fillId="5" borderId="0" xfId="0" applyNumberFormat="1" applyFont="1" applyFill="1" applyBorder="1"/>
    <x:xf numFmtId="202" fontId="4" fillId="5" borderId="0" xfId="0" applyNumberFormat="1" applyFont="1" applyFill="1" applyBorder="1"/>
    <x:xf numFmtId="201" fontId="4" fillId="5" borderId="0" xfId="0" applyNumberFormat="1" applyFont="1" applyFill="1" applyBorder="1"/>
    <x:xf numFmtId="0" fontId="6" fillId="5" borderId="3" xfId="0" applyNumberFormat="1" applyFont="1" applyFill="1" applyBorder="1"/>
    <x:xf numFmtId="0" fontId="6" fillId="5" borderId="0" xfId="0" applyNumberFormat="1" applyFont="1" applyFill="1" applyBorder="1"/>
    <x:xf numFmtId="200" fontId="6" fillId="5" borderId="0" xfId="0" applyNumberFormat="1" applyFont="1" applyFill="1" applyBorder="1"/>
    <x:xf numFmtId="0" fontId="6" fillId="5" borderId="8" xfId="0" applyNumberFormat="1" applyFont="1" applyFill="1" applyBorder="1"/>
    <x:xf numFmtId="200" fontId="6" fillId="5" borderId="8" xfId="0" applyNumberFormat="1" applyFont="1" applyFill="1" applyBorder="1"/>
    <x:xf numFmtId="202" fontId="6" fillId="5" borderId="0" xfId="0" applyNumberFormat="1" applyFont="1" applyFill="1" applyBorder="1"/>
    <x:xf numFmtId="201" fontId="6" fillId="5" borderId="0" xfId="0" applyNumberFormat="1" applyFont="1" applyFill="1" applyBorder="1"/>
    <x:xf numFmtId="0" fontId="6" fillId="5" borderId="3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200" fontId="6" fillId="5" borderId="0" xfId="0" applyNumberFormat="1" applyFont="1" applyFill="1" applyBorder="1" applyAlignment="1">
      <x:alignment wrapText="1"/>
    </x:xf>
    <x:xf numFmtId="0" fontId="6" fillId="5" borderId="8" xfId="0" applyNumberFormat="1" applyFont="1" applyFill="1" applyBorder="1" applyAlignment="1">
      <x:alignment wrapText="1"/>
    </x:xf>
    <x:xf numFmtId="200" fontId="6" fillId="5" borderId="8" xfId="0" applyNumberFormat="1" applyFont="1" applyFill="1" applyBorder="1" applyAlignment="1">
      <x:alignment wrapText="1"/>
    </x:xf>
    <x:xf numFmtId="202" fontId="6" fillId="5" borderId="0" xfId="0" applyNumberFormat="1" applyFont="1" applyFill="1" applyBorder="1" applyAlignment="1">
      <x:alignment wrapText="1"/>
    </x:xf>
    <x:xf numFmtId="201" fontId="6" fillId="5" borderId="0" xfId="0" applyNumberFormat="1" applyFont="1" applyFill="1" applyBorder="1" applyAlignment="1">
      <x:alignment wrapText="1"/>
    </x:xf>
    <x:xf numFmtId="201" fontId="4" fillId="5" borderId="8" xfId="0" applyNumberFormat="1" applyFont="1" applyFill="1" applyBorder="1"/>
    <x:xf numFmtId="201" fontId="6" fillId="5" borderId="8" xfId="0" applyNumberFormat="1" applyFont="1" applyFill="1" applyBorder="1"/>
    <x:xf numFmtId="201" fontId="6" fillId="5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1a139e219c4355" /><Relationship Type="http://schemas.openxmlformats.org/officeDocument/2006/relationships/theme" Target="/xl/theme/theme1.xml" Id="Rc8f9d68e2d1e4c49" /><Relationship Type="http://schemas.openxmlformats.org/officeDocument/2006/relationships/sharedStrings" Target="/xl/sharedStrings.xml" Id="R766693811df0463a" /><Relationship Type="http://schemas.openxmlformats.org/officeDocument/2006/relationships/worksheet" Target="/xl/worksheets/sheet1.xml" Id="R1b539db7c07141ab" /><Relationship Type="http://schemas.openxmlformats.org/officeDocument/2006/relationships/worksheet" Target="/xl/worksheets/sheet2.xml" Id="R2b887f7aa3f84d86" /><Relationship Type="http://schemas.openxmlformats.org/officeDocument/2006/relationships/worksheet" Target="/xl/worksheets/sheet3.xml" Id="R60f95bbf12764030" /><Relationship Type="http://schemas.openxmlformats.org/officeDocument/2006/relationships/worksheet" Target="/xl/worksheets/sheet4.xml" Id="Rf63670aac6824b65" /><Relationship Type="http://schemas.openxmlformats.org/officeDocument/2006/relationships/worksheet" Target="/xl/worksheets/sheet5.xml" Id="R8e518e07ceeb4adf" /><Relationship Type="http://schemas.openxmlformats.org/officeDocument/2006/relationships/worksheet" Target="/xl/worksheets/sheet6.xml" Id="Rc3f03ebdb2d346bf" /><Relationship Type="http://schemas.openxmlformats.org/officeDocument/2006/relationships/worksheet" Target="/xl/worksheets/sheet7.xml" Id="Ra9b78ea353194fbe" /><Relationship Type="http://schemas.openxmlformats.org/officeDocument/2006/relationships/worksheet" Target="/xl/worksheets/sheet8.xml" Id="R87797242b6f343d4" /><Relationship Type="http://schemas.openxmlformats.org/officeDocument/2006/relationships/worksheet" Target="/xl/worksheets/sheet9.xml" Id="R5974ba20b4e34a3e" /><Relationship Type="http://schemas.openxmlformats.org/officeDocument/2006/relationships/worksheet" Target="/xl/worksheets/sheet10.xml" Id="R5d52403569014c9a" /><Relationship Type="http://schemas.openxmlformats.org/officeDocument/2006/relationships/worksheet" Target="/xl/worksheets/sheet11.xml" Id="Ra323c43f3db44001" /><Relationship Type="http://schemas.openxmlformats.org/officeDocument/2006/relationships/worksheet" Target="/xl/worksheets/sheet12.xml" Id="R42a610d9c90f4d21" /><Relationship Type="http://schemas.openxmlformats.org/officeDocument/2006/relationships/worksheet" Target="/xl/worksheets/sheet13.xml" Id="R9e5f028ce0024095" /><Relationship Type="http://schemas.openxmlformats.org/officeDocument/2006/relationships/worksheet" Target="/xl/worksheets/sheet14.xml" Id="Rbc44d6dcaf85463a" /><Relationship Type="http://schemas.openxmlformats.org/officeDocument/2006/relationships/worksheet" Target="/xl/worksheets/sheet15.xml" Id="Rdcb484d608b744e9" /><Relationship Type="http://schemas.openxmlformats.org/officeDocument/2006/relationships/worksheet" Target="/xl/worksheets/sheet16.xml" Id="Redb15ff5dcc74a5a" /><Relationship Type="http://schemas.openxmlformats.org/officeDocument/2006/relationships/worksheet" Target="/xl/worksheets/sheet17.xml" Id="R98388fcab2b94bdf" /><Relationship Type="http://schemas.openxmlformats.org/officeDocument/2006/relationships/worksheet" Target="/xl/worksheets/sheet18.xml" Id="R5836542d5b9245f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d296ed8347848a4" /><Relationship Type="http://schemas.openxmlformats.org/officeDocument/2006/relationships/chart" Target="/xl/drawings/charts/chart2.xml" Id="Rb501db54bb514948" /><Relationship Type="http://schemas.openxmlformats.org/officeDocument/2006/relationships/chart" Target="/xl/drawings/charts/chart3.xml" Id="Rff515354ffe74ea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y EBITDA 2026-2030 (EUR M)</a:t>
            </a:r>
          </a:p>
        </c:rich>
      </c:tx>
    </c:title>
    <c:plotArea>
      <c:lineChart>
        <c:grouping val="standard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'13_Dashboard'!$A$33:$A$37</c:f>
              <c:strCache>
                <c:ptCount val="0"/>
              </c:strCache>
            </c:strRef>
          </c:cat>
          <c:val>
            <c:numRef>
              <c:f>'13_Dashboard'!$B$33:$B$37</c:f>
              <c:numCache>
                <c:formatCode>#,##0.0</c:formatCode>
                <c:ptCount val="0"/>
              </c:numCache>
            </c:numRef>
          </c:val>
        </c:ser>
        <c:ser>
          <c:idx val="1"/>
          <c:order val="1"/>
          <c:tx>
            <c:v>EBITDA</c:v>
          </c:tx>
          <c:marker>
            <c:symbol val="none"/>
          </c:marker>
          <c:cat>
            <c:strRef>
              <c:f>'13_Dashboard'!$A$33:$A$37</c:f>
              <c:strCache>
                <c:ptCount val="0"/>
              </c:strCache>
            </c:strRef>
          </c:cat>
          <c:val>
            <c:numRef>
              <c:f>'13_Dashboard'!$C$33:$C$37</c:f>
              <c:numCache>
                <c:formatCode>#,##0.0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Mix de ingresos 2030</a:t>
            </a:r>
          </a:p>
        </c:rich>
      </c:tx>
    </c:title>
    <c:plotArea>
      <c:doughnutChart>
        <c:ser>
          <c:idx val="0"/>
          <c:order val="0"/>
          <c:tx>
            <c:v>EUR M</c:v>
          </c:tx>
          <c:cat>
            <c:strRef>
              <c:f>'13_Dashboard'!$A$41:$A$46</c:f>
              <c:strCache>
                <c:ptCount val="0"/>
              </c:strCache>
            </c:strRef>
          </c:cat>
          <c:val>
            <c:numRef>
              <c:f>'13_Dashboard'!$B$41:$B$46</c:f>
              <c:numCache>
                <c:formatCode>#,##0.0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 midpoint por escenario (EUR M)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EV midpoint</c:v>
          </c:tx>
          <c:cat>
            <c:strRef>
              <c:f>'13_Dashboard'!$A$50:$A$52</c:f>
              <c:strCache>
                <c:ptCount val="0"/>
              </c:strCache>
            </c:strRef>
          </c:cat>
          <c:val>
            <c:numRef>
              <c:f>'13_Dashboard'!$B$50:$B$52</c:f>
              <c:numCache>
                <c:formatCode>#,##0.0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296ed8347848a4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01db54bb514948"/>
        </a:graphicData>
      </a:graphic>
    </xdr:graphicFrame>
    <xdr:clientData/>
  </xdr:twoCellAnchor>
  <xdr:twoCellAnchor>
    <xdr:from>
      <xdr:col>6</xdr:col>
      <xdr:colOff>0</xdr:colOff>
      <xdr:row>35</xdr:row>
      <xdr:rowOff>0</xdr:rowOff>
    </xdr:from>
    <xdr:to>
      <xdr:col>14</xdr:col>
      <xdr:colOff>0</xdr:colOff>
      <xdr:row>50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515354ffe74ea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.xml" Id="Rb75a00eb0ff541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.630001068115234" hidden="0" customWidth="1"/>
    <x:col min="2" max="2" width="7.75" hidden="0" customWidth="1"/>
    <x:col min="3" max="3" width="6.75" hidden="0" customWidth="1"/>
    <x:col min="4" max="4" width="18.8799991607666" hidden="0" customWidth="1"/>
    <x:col min="5" max="5" width="42.630001068115234" hidden="0" customWidth="1"/>
    <x:col min="6" max="6" width="15" hidden="0" customWidth="1"/>
  </x:cols>
  <x:sheetData>
    <x:row r="1" ht="15" hidden="0" customHeight="1">
      <x:c r="A1" s="121" t="str">
        <x:v>00 Control</x:v>
      </x:c>
      <x:c r="B1" s="121"/>
      <x:c r="C1" s="121"/>
      <x:c r="D1" s="121"/>
      <x:c r="E1" s="121"/>
      <x:c r="F1" s="121"/>
      <x:c r="G1" s="2"/>
      <x:c r="H1" s="2"/>
    </x:row>
    <x:row r="2" ht="15" hidden="0" customHeight="1">
      <x:c r="A2" s="122" t="str">
        <x:v>CUEVA BP V8 alternativa fee 2,5/2,5 - plan base 300K + CUEVA Total 2030</x:v>
      </x:c>
      <x:c r="B2" s="122"/>
      <x:c r="C2" s="122"/>
      <x:c r="D2" s="122"/>
      <x:c r="E2" s="122"/>
      <x:c r="F2" s="122"/>
      <x:c r="G2" s="4"/>
      <x:c r="H2" s="4"/>
    </x:row>
    <x:row r="3" ht="15" hidden="0" customHeight="1">
      <x:c r="A3" s="123"/>
      <x:c r="B3" s="123"/>
      <x:c r="C3" s="123"/>
      <x:c r="D3" s="123"/>
      <x:c r="E3" s="123"/>
      <x:c r="F3" s="123"/>
    </x:row>
    <x:row r="4" ht="15" hidden="0" customHeight="1">
      <x:c r="A4" s="124" t="str">
        <x:v>Indicador</x:v>
      </x:c>
      <x:c r="B4" s="124" t="str">
        <x:v>Valor</x:v>
      </x:c>
      <x:c r="C4" s="124" t="str">
        <x:v>Unidad</x:v>
      </x:c>
      <x:c r="D4" s="124" t="str">
        <x:v>Fuente viva</x:v>
      </x:c>
      <x:c r="E4" s="124" t="str">
        <x:v>Lectura ejecutiva</x:v>
      </x:c>
      <x:c r="F4" s="123"/>
    </x:row>
    <x:row r="5" ht="15" hidden="0" customHeight="1">
      <x:c r="A5" s="125" t="str">
        <x:v>Valor actual defendido</x:v>
      </x:c>
      <x:c r="B5" s="319" t="n">
        <x:f>'10_Valuation'!C11</x:f>
        <x:v>4216175</x:v>
      </x:c>
      <x:c r="C5" s="383" t="str">
        <x:v>EUR</x:v>
      </x:c>
      <x:c r="D5" s="383" t="str">
        <x:v>10_Valuation</x:v>
      </x:c>
      <x:c r="E5" s="320" t="str">
        <x:v>Coste de construccion de activo y evidencia acumulada</x:v>
      </x:c>
      <x:c r="F5" s="123"/>
    </x:row>
    <x:row r="6" ht="15" hidden="0" customHeight="1">
      <x:c r="A6" s="133" t="str">
        <x:v>Capital minimo 2026</x:v>
      </x:c>
      <x:c r="B6" s="387" t="n">
        <x:f>'03_Use_Funds'!B12</x:f>
        <x:v>300000</x:v>
      </x:c>
      <x:c r="C6" s="386" t="str">
        <x:v>EUR</x:v>
      </x:c>
      <x:c r="D6" s="386" t="str">
        <x:v>03_Use_Funds</x:v>
      </x:c>
      <x:c r="E6" s="322" t="str">
        <x:v>Plan obligatorio para hacer la compania defendible</x:v>
      </x:c>
      <x:c r="F6" s="123"/>
    </x:row>
    <x:row r="7" ht="15" hidden="0" customHeight="1">
      <x:c r="A7" s="125" t="str">
        <x:v>Fee de Red Fabricante</x:v>
      </x:c>
      <x:c r="B7" s="293" t="n">
        <x:f>'02B_Partner_Economics'!B21</x:f>
        <x:v>2.5</x:v>
      </x:c>
      <x:c r="C7" s="383" t="str">
        <x:v>EUR/m2</x:v>
      </x:c>
      <x:c r="D7" s="383" t="str">
        <x:v>02B_Partner_Economics</x:v>
      </x:c>
      <x:c r="E7" s="320" t="str">
        <x:v>Devengo por fabricacion verificada</x:v>
      </x:c>
      <x:c r="F7" s="123"/>
    </x:row>
    <x:row r="8" ht="15" hidden="0" customHeight="1">
      <x:c r="A8" s="133" t="str">
        <x:v>Fee de Red Montaje</x:v>
      </x:c>
      <x:c r="B8" s="392" t="n">
        <x:f>'02B_Partner_Economics'!B22</x:f>
        <x:v>2.5</x:v>
      </x:c>
      <x:c r="C8" s="386" t="str">
        <x:v>EUR/m2</x:v>
      </x:c>
      <x:c r="D8" s="386" t="str">
        <x:v>02B_Partner_Economics</x:v>
      </x:c>
      <x:c r="E8" s="322" t="str">
        <x:v>Devengo por instalacion verificada</x:v>
      </x:c>
      <x:c r="F8" s="123"/>
    </x:row>
    <x:row r="9" ht="15" hidden="0" customHeight="1">
      <x:c r="A9" s="125" t="str">
        <x:v>Revenue 2027 management</x:v>
      </x:c>
      <x:c r="B9" s="319" t="n">
        <x:f>'02_Plan_300K'!C19</x:f>
        <x:v>1670000</x:v>
      </x:c>
      <x:c r="C9" s="383" t="str">
        <x:v>EUR</x:v>
      </x:c>
      <x:c r="D9" s="383" t="str">
        <x:v>02_Plan_300K</x:v>
      </x:c>
      <x:c r="E9" s="320" t="str">
        <x:v>Unico KIWA y nueva arquitectura comercial</x:v>
      </x:c>
      <x:c r="F9" s="123"/>
    </x:row>
    <x:row r="10" ht="15" hidden="0" customHeight="1">
      <x:c r="A10" s="129" t="str">
        <x:v>Revenue 2027 ponderado</x:v>
      </x:c>
      <x:c r="B10" s="385" t="n">
        <x:f>'02_Plan_300K'!F19</x:f>
        <x:v>1104000</x:v>
      </x:c>
      <x:c r="C10" s="384" t="str">
        <x:v>EUR</x:v>
      </x:c>
      <x:c r="D10" s="384" t="str">
        <x:v>02_Plan_300K</x:v>
      </x:c>
      <x:c r="E10" s="321" t="str">
        <x:v>Pipeline risk-adjusted</x:v>
      </x:c>
      <x:c r="F10" s="123"/>
    </x:row>
    <x:row r="11" ht="15" hidden="0" customHeight="1">
      <x:c r="A11" s="129" t="str">
        <x:v>EBITDA 2027 management</x:v>
      </x:c>
      <x:c r="B11" s="385" t="n">
        <x:f>'02_Plan_300K'!C22</x:f>
        <x:v>313999</x:v>
      </x:c>
      <x:c r="C11" s="384" t="str">
        <x:v>EUR</x:v>
      </x:c>
      <x:c r="D11" s="384" t="str">
        <x:v>02_Plan_300K</x:v>
      </x:c>
      <x:c r="E11" s="321" t="str">
        <x:v>Contribucion especifica por linea</x:v>
      </x:c>
      <x:c r="F11" s="123"/>
    </x:row>
    <x:row r="12" ht="15" hidden="0" customHeight="1">
      <x:c r="A12" s="129" t="str">
        <x:v>EBITDA 2027 ponderado</x:v>
      </x:c>
      <x:c r="B12" s="385" t="n">
        <x:f>'02_Plan_300K'!F22</x:f>
        <x:v>11039</x:v>
      </x:c>
      <x:c r="C12" s="384" t="str">
        <x:v>EUR</x:v>
      </x:c>
      <x:c r="D12" s="384" t="str">
        <x:v>02_Plan_300K</x:v>
      </x:c>
      <x:c r="E12" s="321" t="str">
        <x:v>Punto de control para gates de OPEX</x:v>
      </x:c>
      <x:c r="F12" s="123"/>
    </x:row>
    <x:row r="13" ht="15" hidden="0" customHeight="1">
      <x:c r="A13" s="133" t="str">
        <x:v>Valor objetivo fin 2027</x:v>
      </x:c>
      <x:c r="B13" s="387" t="n">
        <x:f>'10_Valuation'!C21</x:f>
        <x:v>9500000</x:v>
      </x:c>
      <x:c r="C13" s="386" t="str">
        <x:v>EUR</x:v>
      </x:c>
      <x:c r="D13" s="386" t="str">
        <x:v>10_Valuation</x:v>
      </x:c>
      <x:c r="E13" s="322" t="str">
        <x:v>Rango razonado 8-12M</x:v>
      </x:c>
      <x:c r="F13" s="123"/>
    </x:row>
    <x:row r="14" ht="15" hidden="0" customHeight="1">
      <x:c r="A14" s="125" t="str">
        <x:v>Revenue 2030 Scale Case</x:v>
      </x:c>
      <x:c r="B14" s="284" t="n">
        <x:f>'06_Revenue'!F23</x:f>
        <x:v>188.89594419999997</x:v>
      </x:c>
      <x:c r="C14" s="383" t="str">
        <x:v>EUR M</x:v>
      </x:c>
      <x:c r="D14" s="383" t="str">
        <x:v>06_Revenue</x:v>
      </x:c>
      <x:c r="E14" s="320" t="str">
        <x:v>Plan condicionado a capital y red</x:v>
      </x:c>
      <x:c r="F14" s="123"/>
    </x:row>
    <x:row r="15" ht="15" hidden="0" customHeight="1">
      <x:c r="A15" s="129" t="str">
        <x:v>EBITDA 2030 Scale Case</x:v>
      </x:c>
      <x:c r="B15" s="286" t="n">
        <x:f>'07_Contribution'!F19</x:f>
        <x:v>110.429601844</x:v>
      </x:c>
      <x:c r="C15" s="384" t="str">
        <x:v>EUR M</x:v>
      </x:c>
      <x:c r="D15" s="384" t="str">
        <x:v>07_Contribution</x:v>
      </x:c>
      <x:c r="E15" s="321" t="str">
        <x:v>Margen por red, evidencia y stock vivo</x:v>
      </x:c>
      <x:c r="F15" s="123"/>
    </x:row>
    <x:row r="16" ht="15" hidden="0" customHeight="1">
      <x:c r="A16" s="129" t="str">
        <x:v>EBITDA margin 2030</x:v>
      </x:c>
      <x:c r="B16" s="388" t="n">
        <x:f>'07_Contribution'!F20</x:f>
        <x:v>0.5846054679028944</x:v>
      </x:c>
      <x:c r="C16" s="384" t="str">
        <x:v>%</x:v>
      </x:c>
      <x:c r="D16" s="384" t="str">
        <x:v>07_Contribution</x:v>
      </x:c>
      <x:c r="E16" s="321" t="str">
        <x:v>Apalancamiento operativo</x:v>
      </x:c>
      <x:c r="F16" s="123"/>
    </x:row>
    <x:row r="17" ht="15" hidden="0" customHeight="1">
      <x:c r="A17" s="129" t="str">
        <x:v>EV midpoint 2030</x:v>
      </x:c>
      <x:c r="B17" s="286" t="n">
        <x:f>'10_Valuation'!F7</x:f>
        <x:v>1599.7874203739998</x:v>
      </x:c>
      <x:c r="C17" s="384" t="str">
        <x:v>EUR M</x:v>
      </x:c>
      <x:c r="D17" s="384" t="str">
        <x:v>10_Valuation</x:v>
      </x:c>
      <x:c r="E17" s="321" t="str">
        <x:v>No usar como pre-money actual</x:v>
      </x:c>
      <x:c r="F17" s="123"/>
    </x:row>
    <x:row r="18" ht="15" hidden="0" customHeight="1">
      <x:c r="A18" s="129" t="str">
        <x:v>SOTP base 2030</x:v>
      </x:c>
      <x:c r="B18" s="286" t="n">
        <x:f>'10_Valuation'!G32</x:f>
        <x:v>1148.1736128</x:v>
      </x:c>
      <x:c r="C18" s="384" t="str">
        <x:v>EUR M</x:v>
      </x:c>
      <x:c r="D18" s="384" t="str">
        <x:v>10_Valuation</x:v>
      </x:c>
      <x:c r="E18" s="321" t="str">
        <x:v>Cross-check por calidad de ingreso</x:v>
      </x:c>
      <x:c r="F18" s="123"/>
    </x:row>
    <x:row r="19" ht="15" hidden="0" customHeight="1">
      <x:c r="A19" s="133" t="str">
        <x:v>MODEL STATUS</x:v>
      </x:c>
      <x:c r="B19" s="386" t="str">
        <x:f>'14_Checks'!F22</x:f>
        <x:v>PASS</x:v>
      </x:c>
      <x:c r="C19" s="386" t="str"/>
      <x:c r="D19" s="386" t="str">
        <x:v>14_Checks</x:v>
      </x:c>
      <x:c r="E19" s="322" t="str">
        <x:v>Debe ser PASS</x:v>
      </x:c>
      <x:c r="F19" s="123"/>
    </x:row>
    <x:row r="20" ht="15" hidden="0" customHeight="1">
      <x:c r="A20" s="123"/>
      <x:c r="B20" s="123"/>
      <x:c r="C20" s="123"/>
      <x:c r="D20" s="123"/>
      <x:c r="E20" s="123"/>
      <x:c r="F20" s="123"/>
    </x:row>
    <x:row r="21" ht="15" hidden="0" customHeight="1">
      <x:c r="A21" s="123"/>
      <x:c r="B21" s="123"/>
      <x:c r="C21" s="123"/>
      <x:c r="D21" s="123"/>
      <x:c r="E21" s="123"/>
      <x:c r="F21" s="123"/>
    </x:row>
    <x:row r="22" ht="15" hidden="0" customHeight="1">
      <x:c r="A22" s="123"/>
      <x:c r="B22" s="123"/>
      <x:c r="C22" s="123"/>
      <x:c r="D22" s="123"/>
      <x:c r="E22" s="123"/>
      <x:c r="F22" s="123"/>
    </x:row>
    <x:row r="23" ht="15" hidden="0" customHeight="1">
      <x:c r="A23" s="123"/>
      <x:c r="B23" s="123"/>
      <x:c r="C23" s="123"/>
      <x:c r="D23" s="123"/>
      <x:c r="E23" s="123"/>
      <x:c r="F23" s="123"/>
    </x:row>
    <x:row r="24" ht="15" hidden="0" customHeight="1">
      <x:c r="A24" s="123"/>
      <x:c r="B24" s="123"/>
      <x:c r="C24" s="123"/>
      <x:c r="D24" s="123"/>
      <x:c r="E24" s="123"/>
      <x:c r="F24" s="123"/>
    </x:row>
    <x:row r="25" ht="15" hidden="0" customHeight="1">
      <x:c r="A25" s="123"/>
      <x:c r="B25" s="123"/>
      <x:c r="C25" s="123"/>
      <x:c r="D25" s="123"/>
      <x:c r="E25" s="123"/>
      <x:c r="F25" s="123"/>
    </x:row>
    <x:row r="26" ht="15" hidden="0" customHeight="1">
      <x:c r="A26" s="123"/>
      <x:c r="B26" s="123"/>
      <x:c r="C26" s="123"/>
      <x:c r="D26" s="123"/>
      <x:c r="E26" s="123"/>
      <x:c r="F26" s="123"/>
    </x:row>
    <x:row r="27" ht="15" hidden="0" customHeight="1">
      <x:c r="A27" s="123"/>
      <x:c r="B27" s="123"/>
      <x:c r="C27" s="123"/>
      <x:c r="D27" s="123"/>
      <x:c r="E27" s="123"/>
      <x:c r="F27" s="123"/>
    </x:row>
    <x:row r="28" ht="15" hidden="0" customHeight="1">
      <x:c r="A28" s="123"/>
      <x:c r="B28" s="123"/>
      <x:c r="C28" s="123"/>
      <x:c r="D28" s="123"/>
      <x:c r="E28" s="123"/>
      <x:c r="F28" s="123"/>
    </x:row>
    <x:row r="29" ht="15" hidden="0" customHeight="1">
      <x:c r="A29" s="123"/>
      <x:c r="B29" s="123"/>
      <x:c r="C29" s="123"/>
      <x:c r="D29" s="123"/>
      <x:c r="E29" s="123"/>
      <x:c r="F29" s="123"/>
    </x:row>
    <x:row r="30" ht="15" hidden="0" customHeight="1">
      <x:c r="A30" s="123"/>
      <x:c r="B30" s="123"/>
      <x:c r="C30" s="123"/>
      <x:c r="D30" s="123"/>
      <x:c r="E30" s="123"/>
      <x:c r="F30" s="123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1.880001068115234" hidden="0" customWidth="1"/>
    <x:col min="2" max="2" width="6.380000114440918" hidden="0" customWidth="1"/>
    <x:col min="3" max="3" width="6.380000114440918" hidden="0" customWidth="1"/>
    <x:col min="4" max="4" width="7.75" hidden="0" customWidth="1"/>
    <x:col min="5" max="5" width="7.75" hidden="0" customWidth="1"/>
    <x:col min="6" max="6" width="7.75" hidden="0" customWidth="1"/>
    <x:col min="7" max="7" width="15" hidden="0" customWidth="1"/>
  </x:cols>
  <x:sheetData>
    <x:row r="1" ht="15" hidden="0" customHeight="1">
      <x:c r="A1" s="121" t="str">
        <x:v>01 Assumptions</x:v>
      </x:c>
      <x:c r="B1" s="121"/>
      <x:c r="C1" s="121"/>
      <x:c r="D1" s="121"/>
      <x:c r="E1" s="121"/>
      <x:c r="F1" s="121"/>
      <x:c r="G1" s="121"/>
      <x:c r="H1" s="2"/>
    </x:row>
    <x:row r="2" ht="15" hidden="0" customHeight="1">
      <x:c r="A2" s="122" t="str">
        <x:v>Supuestos editables en azul. Caso de escala 2026-2030, condicionado a capital y red.</x:v>
      </x:c>
      <x:c r="B2" s="122"/>
      <x:c r="C2" s="122"/>
      <x:c r="D2" s="122"/>
      <x:c r="E2" s="122"/>
      <x:c r="F2" s="122"/>
      <x:c r="G2" s="122"/>
      <x:c r="H2" s="4"/>
    </x:row>
    <x:row r="3" ht="15" hidden="0" customHeight="1">
      <x:c r="A3" s="123"/>
      <x:c r="B3" s="123"/>
      <x:c r="C3" s="123"/>
      <x:c r="D3" s="123"/>
      <x:c r="E3" s="123"/>
      <x:c r="F3" s="123"/>
      <x:c r="G3" s="123"/>
    </x:row>
    <x:row r="4" ht="15" hidden="0" customHeight="1">
      <x:c r="A4" s="124" t="str">
        <x:v>Concepto</x:v>
      </x:c>
      <x:c r="B4" s="124" t="n">
        <x:v>2026</x:v>
      </x:c>
      <x:c r="C4" s="124" t="n">
        <x:v>2027</x:v>
      </x:c>
      <x:c r="D4" s="124" t="n">
        <x:v>2028</x:v>
      </x:c>
      <x:c r="E4" s="124" t="n">
        <x:v>2029</x:v>
      </x:c>
      <x:c r="F4" s="124" t="n">
        <x:v>2030</x:v>
      </x:c>
      <x:c r="G4" s="123"/>
    </x:row>
    <x:row r="5" ht="15" hidden="0" customHeight="1">
      <x:c r="A5" s="125" t="str">
        <x:v>m2 emitidos</x:v>
      </x:c>
      <x:c r="B5" s="126" t="n">
        <x:v>140000</x:v>
      </x:c>
      <x:c r="C5" s="127" t="n">
        <x:v>446000</x:v>
      </x:c>
      <x:c r="D5" s="127" t="n">
        <x:v>1065000</x:v>
      </x:c>
      <x:c r="E5" s="127" t="n">
        <x:v>1920000</x:v>
      </x:c>
      <x:c r="F5" s="128" t="n">
        <x:v>2940000</x:v>
      </x:c>
      <x:c r="G5" s="123"/>
    </x:row>
    <x:row r="6" ht="15" hidden="0" customHeight="1">
      <x:c r="A6" s="129" t="str">
        <x:v>Stock vivo</x:v>
      </x:c>
      <x:c r="B6" s="130" t="n">
        <x:v>140000</x:v>
      </x:c>
      <x:c r="C6" s="131" t="n">
        <x:v>586000</x:v>
      </x:c>
      <x:c r="D6" s="131" t="n">
        <x:v>1651000</x:v>
      </x:c>
      <x:c r="E6" s="131" t="n">
        <x:v>3570000</x:v>
      </x:c>
      <x:c r="F6" s="132" t="n">
        <x:v>6511000</x:v>
      </x:c>
      <x:c r="G6" s="123"/>
    </x:row>
    <x:row r="7" ht="15" hidden="0" customHeight="1">
      <x:c r="A7" s="133" t="str">
        <x:v>Partners activos objetivo (check)</x:v>
      </x:c>
      <x:c r="B7" s="134" t="n">
        <x:v>2</x:v>
      </x:c>
      <x:c r="C7" s="135" t="n">
        <x:v>5</x:v>
      </x:c>
      <x:c r="D7" s="135" t="n">
        <x:v>11</x:v>
      </x:c>
      <x:c r="E7" s="135" t="n">
        <x:v>17</x:v>
      </x:c>
      <x:c r="F7" s="136" t="n">
        <x:v>23</x:v>
      </x:c>
      <x:c r="G7" s="123"/>
    </x:row>
    <x:row r="8" ht="15" hidden="0" customHeight="1">
      <x:c r="A8" s="125" t="str">
        <x:v>Precio Designer</x:v>
      </x:c>
      <x:c r="B8" s="137" t="n">
        <x:v>3</x:v>
      </x:c>
      <x:c r="C8" s="138" t="n">
        <x:v>3</x:v>
      </x:c>
      <x:c r="D8" s="138" t="n">
        <x:v>3.2</x:v>
      </x:c>
      <x:c r="E8" s="138" t="n">
        <x:v>3.3</x:v>
      </x:c>
      <x:c r="F8" s="139" t="n">
        <x:v>3.5</x:v>
      </x:c>
      <x:c r="G8" s="123"/>
    </x:row>
    <x:row r="9" ht="15" hidden="0" customHeight="1">
      <x:c r="A9" s="129" t="str">
        <x:v>Adopcion Designer</x:v>
      </x:c>
      <x:c r="B9" s="140" t="n">
        <x:v>0.65</x:v>
      </x:c>
      <x:c r="C9" s="141" t="n">
        <x:v>0.72</x:v>
      </x:c>
      <x:c r="D9" s="141" t="n">
        <x:v>0.78</x:v>
      </x:c>
      <x:c r="E9" s="141" t="n">
        <x:v>0.82</x:v>
      </x:c>
      <x:c r="F9" s="142" t="n">
        <x:v>0.86</x:v>
      </x:c>
      <x:c r="G9" s="123"/>
    </x:row>
    <x:row r="10" ht="15" hidden="0" customHeight="1">
      <x:c r="A10" s="129" t="str">
        <x:v>Precio Manager</x:v>
      </x:c>
      <x:c r="B10" s="143" t="n">
        <x:v>2.5</x:v>
      </x:c>
      <x:c r="C10" s="144" t="n">
        <x:v>2.6</x:v>
      </x:c>
      <x:c r="D10" s="144" t="n">
        <x:v>2.7</x:v>
      </x:c>
      <x:c r="E10" s="144" t="n">
        <x:v>2.8</x:v>
      </x:c>
      <x:c r="F10" s="145" t="n">
        <x:v>3</x:v>
      </x:c>
      <x:c r="G10" s="123"/>
    </x:row>
    <x:row r="11" ht="15" hidden="0" customHeight="1">
      <x:c r="A11" s="129" t="str">
        <x:v>Adopcion Manager</x:v>
      </x:c>
      <x:c r="B11" s="140" t="n">
        <x:v>0.75</x:v>
      </x:c>
      <x:c r="C11" s="141" t="n">
        <x:v>0.82</x:v>
      </x:c>
      <x:c r="D11" s="141" t="n">
        <x:v>0.88</x:v>
      </x:c>
      <x:c r="E11" s="141" t="n">
        <x:v>0.92</x:v>
      </x:c>
      <x:c r="F11" s="142" t="n">
        <x:v>0.95</x:v>
      </x:c>
      <x:c r="G11" s="123"/>
    </x:row>
    <x:row r="12" ht="15" hidden="0" customHeight="1">
      <x:c r="A12" s="129" t="str">
        <x:v>Fee de Red Fabricante</x:v>
      </x:c>
      <x:c r="B12" s="143" t="n">
        <x:v>2.5</x:v>
      </x:c>
      <x:c r="C12" s="144" t="n">
        <x:v>2.5</x:v>
      </x:c>
      <x:c r="D12" s="144" t="n">
        <x:v>2.5</x:v>
      </x:c>
      <x:c r="E12" s="144" t="n">
        <x:v>2.5</x:v>
      </x:c>
      <x:c r="F12" s="145" t="n">
        <x:v>2.5</x:v>
      </x:c>
      <x:c r="G12" s="123"/>
    </x:row>
    <x:row r="13" ht="15" hidden="0" customHeight="1">
      <x:c r="A13" s="129" t="str">
        <x:v>Precio Asset Activation</x:v>
      </x:c>
      <x:c r="B13" s="143" t="n">
        <x:v>3.5</x:v>
      </x:c>
      <x:c r="C13" s="144" t="n">
        <x:v>5</x:v>
      </x:c>
      <x:c r="D13" s="144" t="n">
        <x:v>6.5</x:v>
      </x:c>
      <x:c r="E13" s="144" t="n">
        <x:v>7.25</x:v>
      </x:c>
      <x:c r="F13" s="145" t="n">
        <x:v>8</x:v>
      </x:c>
      <x:c r="G13" s="123"/>
    </x:row>
    <x:row r="14" ht="15" hidden="0" customHeight="1">
      <x:c r="A14" s="129" t="str">
        <x:v>Completion Asset Activation</x:v>
      </x:c>
      <x:c r="B14" s="140" t="n">
        <x:v>0.82</x:v>
      </x:c>
      <x:c r="C14" s="141" t="n">
        <x:v>0.88</x:v>
      </x:c>
      <x:c r="D14" s="141" t="n">
        <x:v>0.95</x:v>
      </x:c>
      <x:c r="E14" s="141" t="n">
        <x:v>0.92</x:v>
      </x:c>
      <x:c r="F14" s="142" t="n">
        <x:v>1</x:v>
      </x:c>
      <x:c r="G14" s="123"/>
    </x:row>
    <x:row r="15" ht="15" hidden="0" customHeight="1">
      <x:c r="A15" s="129" t="str">
        <x:v>Precio POI base</x:v>
      </x:c>
      <x:c r="B15" s="143" t="n">
        <x:v>2.8</x:v>
      </x:c>
      <x:c r="C15" s="144" t="n">
        <x:v>3.4</x:v>
      </x:c>
      <x:c r="D15" s="144" t="n">
        <x:v>4.1</x:v>
      </x:c>
      <x:c r="E15" s="144" t="n">
        <x:v>4.8</x:v>
      </x:c>
      <x:c r="F15" s="145" t="n">
        <x:v>5.5</x:v>
      </x:c>
      <x:c r="G15" s="123"/>
    </x:row>
    <x:row r="16" ht="15" hidden="0" customHeight="1">
      <x:c r="A16" s="129" t="str">
        <x:v>Uplift POI</x:v>
      </x:c>
      <x:c r="B16" s="140" t="n">
        <x:v>0.15</x:v>
      </x:c>
      <x:c r="C16" s="141" t="n">
        <x:v>0.2</x:v>
      </x:c>
      <x:c r="D16" s="141" t="n">
        <x:v>0.25</x:v>
      </x:c>
      <x:c r="E16" s="141" t="n">
        <x:v>0.25</x:v>
      </x:c>
      <x:c r="F16" s="142" t="n">
        <x:v>0.25</x:v>
      </x:c>
      <x:c r="G16" s="123"/>
    </x:row>
    <x:row r="17" ht="15" hidden="0" customHeight="1">
      <x:c r="A17" s="129" t="str">
        <x:v>POI completion</x:v>
      </x:c>
      <x:c r="B17" s="140" t="n">
        <x:v>0.65</x:v>
      </x:c>
      <x:c r="C17" s="141" t="n">
        <x:v>0.78</x:v>
      </x:c>
      <x:c r="D17" s="141" t="n">
        <x:v>0.9</x:v>
      </x:c>
      <x:c r="E17" s="141" t="n">
        <x:v>0.92</x:v>
      </x:c>
      <x:c r="F17" s="142" t="n">
        <x:v>0.95</x:v>
      </x:c>
      <x:c r="G17" s="123"/>
    </x:row>
    <x:row r="18" ht="15" hidden="0" customHeight="1">
      <x:c r="A18" s="129" t="str">
        <x:v>Precio DPP base</x:v>
      </x:c>
      <x:c r="B18" s="143" t="n">
        <x:v>3.5</x:v>
      </x:c>
      <x:c r="C18" s="144" t="n">
        <x:v>4.4</x:v>
      </x:c>
      <x:c r="D18" s="144" t="n">
        <x:v>5.4</x:v>
      </x:c>
      <x:c r="E18" s="144" t="n">
        <x:v>6.4</x:v>
      </x:c>
      <x:c r="F18" s="145" t="n">
        <x:v>7.5</x:v>
      </x:c>
      <x:c r="G18" s="123"/>
    </x:row>
    <x:row r="19" ht="15" hidden="0" customHeight="1">
      <x:c r="A19" s="129" t="str">
        <x:v>Uplift DPP</x:v>
      </x:c>
      <x:c r="B19" s="140" t="n">
        <x:v>0.1</x:v>
      </x:c>
      <x:c r="C19" s="141" t="n">
        <x:v>0.12</x:v>
      </x:c>
      <x:c r="D19" s="141" t="n">
        <x:v>0.15</x:v>
      </x:c>
      <x:c r="E19" s="141" t="n">
        <x:v>0.15</x:v>
      </x:c>
      <x:c r="F19" s="142" t="n">
        <x:v>0.15</x:v>
      </x:c>
      <x:c r="G19" s="123"/>
    </x:row>
    <x:row r="20" ht="15" hidden="0" customHeight="1">
      <x:c r="A20" s="129" t="str">
        <x:v>DPP completion</x:v>
      </x:c>
      <x:c r="B20" s="140" t="n">
        <x:v>0.5</x:v>
      </x:c>
      <x:c r="C20" s="141" t="n">
        <x:v>0.62</x:v>
      </x:c>
      <x:c r="D20" s="141" t="n">
        <x:v>0.74</x:v>
      </x:c>
      <x:c r="E20" s="141" t="n">
        <x:v>0.82</x:v>
      </x:c>
      <x:c r="F20" s="142" t="n">
        <x:v>0.88</x:v>
      </x:c>
      <x:c r="G20" s="123"/>
    </x:row>
    <x:row r="21" ht="15" hidden="0" customHeight="1">
      <x:c r="A21" s="129" t="str">
        <x:v>Precio recurrente digital</x:v>
      </x:c>
      <x:c r="B21" s="143" t="n">
        <x:v>0.65</x:v>
      </x:c>
      <x:c r="C21" s="144" t="n">
        <x:v>0.95</x:v>
      </x:c>
      <x:c r="D21" s="144" t="n">
        <x:v>1.35</x:v>
      </x:c>
      <x:c r="E21" s="144" t="n">
        <x:v>1.8</x:v>
      </x:c>
      <x:c r="F21" s="145" t="n">
        <x:v>2.3</x:v>
      </x:c>
      <x:c r="G21" s="123"/>
    </x:row>
    <x:row r="22" ht="15" hidden="0" customHeight="1">
      <x:c r="A22" s="129" t="str">
        <x:v>Uplift Network Maintenance</x:v>
      </x:c>
      <x:c r="B22" s="140" t="n">
        <x:v>0.2</x:v>
      </x:c>
      <x:c r="C22" s="141" t="n">
        <x:v>0.3</x:v>
      </x:c>
      <x:c r="D22" s="141" t="n">
        <x:v>0.4</x:v>
      </x:c>
      <x:c r="E22" s="141" t="n">
        <x:v>0.45</x:v>
      </x:c>
      <x:c r="F22" s="142" t="n">
        <x:v>0.5</x:v>
      </x:c>
      <x:c r="G22" s="123"/>
    </x:row>
    <x:row r="23" ht="15" hidden="0" customHeight="1">
      <x:c r="A23" s="129" t="str">
        <x:v>Conversion recurrente</x:v>
      </x:c>
      <x:c r="B23" s="140" t="n">
        <x:v>0.3</x:v>
      </x:c>
      <x:c r="C23" s="141" t="n">
        <x:v>0.4</x:v>
      </x:c>
      <x:c r="D23" s="141" t="n">
        <x:v>0.52</x:v>
      </x:c>
      <x:c r="E23" s="141" t="n">
        <x:v>0.45</x:v>
      </x:c>
      <x:c r="F23" s="142" t="n">
        <x:v>0.56</x:v>
      </x:c>
      <x:c r="G23" s="123"/>
    </x:row>
    <x:row r="24" ht="15" hidden="0" customHeight="1">
      <x:c r="A24" s="129" t="str">
        <x:v>Precio Data Layers</x:v>
      </x:c>
      <x:c r="B24" s="143" t="n">
        <x:v>1</x:v>
      </x:c>
      <x:c r="C24" s="144" t="n">
        <x:v>1.5</x:v>
      </x:c>
      <x:c r="D24" s="144" t="n">
        <x:v>2.1</x:v>
      </x:c>
      <x:c r="E24" s="144" t="n">
        <x:v>2.8</x:v>
      </x:c>
      <x:c r="F24" s="145" t="n">
        <x:v>3.6</x:v>
      </x:c>
      <x:c r="G24" s="123"/>
    </x:row>
    <x:row r="25" ht="15" hidden="0" customHeight="1">
      <x:c r="A25" s="133" t="str">
        <x:v>Uplift Data Layers</x:v>
      </x:c>
      <x:c r="B25" s="146" t="n">
        <x:v>0.15</x:v>
      </x:c>
      <x:c r="C25" s="147" t="n">
        <x:v>0.2</x:v>
      </x:c>
      <x:c r="D25" s="147" t="n">
        <x:v>0.25</x:v>
      </x:c>
      <x:c r="E25" s="147" t="n">
        <x:v>0.3</x:v>
      </x:c>
      <x:c r="F25" s="148" t="n">
        <x:v>0.3</x:v>
      </x:c>
      <x:c r="G25" s="123"/>
    </x:row>
    <x:row r="26" ht="15" hidden="0" customHeight="1">
      <x:c r="A26" s="125" t="str">
        <x:v>Adopcion Data Layers</x:v>
      </x:c>
      <x:c r="B26" s="149" t="n">
        <x:v>0.08</x:v>
      </x:c>
      <x:c r="C26" s="150" t="n">
        <x:v>0.16</x:v>
      </x:c>
      <x:c r="D26" s="150" t="n">
        <x:v>0.22</x:v>
      </x:c>
      <x:c r="E26" s="150" t="n">
        <x:v>0.3</x:v>
      </x:c>
      <x:c r="F26" s="151" t="n">
        <x:v>0.39</x:v>
      </x:c>
      <x:c r="G26" s="123"/>
    </x:row>
    <x:row r="27" ht="15" hidden="0" customHeight="1">
      <x:c r="A27" s="129" t="str">
        <x:v>Penetracion Marketplace</x:v>
      </x:c>
      <x:c r="B27" s="140" t="n">
        <x:v>0.1</x:v>
      </x:c>
      <x:c r="C27" s="141" t="n">
        <x:v>0.18</x:v>
      </x:c>
      <x:c r="D27" s="141" t="n">
        <x:v>0.28</x:v>
      </x:c>
      <x:c r="E27" s="141" t="n">
        <x:v>0.4</x:v>
      </x:c>
      <x:c r="F27" s="142" t="n">
        <x:v>0.52</x:v>
      </x:c>
      <x:c r="G27" s="123"/>
    </x:row>
    <x:row r="28" ht="15" hidden="0" customHeight="1">
      <x:c r="A28" s="129" t="str">
        <x:v>Fee Marketplace</x:v>
      </x:c>
      <x:c r="B28" s="143" t="n">
        <x:v>1.5</x:v>
      </x:c>
      <x:c r="C28" s="144" t="n">
        <x:v>1.5</x:v>
      </x:c>
      <x:c r="D28" s="144" t="n">
        <x:v>1.6</x:v>
      </x:c>
      <x:c r="E28" s="144" t="n">
        <x:v>1.8</x:v>
      </x:c>
      <x:c r="F28" s="145" t="n">
        <x:v>2</x:v>
      </x:c>
      <x:c r="G28" s="123"/>
    </x:row>
    <x:row r="29" ht="15" hidden="0" customHeight="1">
      <x:c r="A29" s="129" t="str">
        <x:v>Servicios premium Marketplace</x:v>
      </x:c>
      <x:c r="B29" s="152" t="n">
        <x:v>0.1</x:v>
      </x:c>
      <x:c r="C29" s="153" t="n">
        <x:v>0.25</x:v>
      </x:c>
      <x:c r="D29" s="153" t="n">
        <x:v>0.6</x:v>
      </x:c>
      <x:c r="E29" s="153" t="n">
        <x:v>1.2</x:v>
      </x:c>
      <x:c r="F29" s="154" t="n">
        <x:v>2</x:v>
      </x:c>
      <x:c r="G29" s="123"/>
    </x:row>
    <x:row r="30" ht="15" hidden="0" customHeight="1">
      <x:c r="A30" s="129" t="str">
        <x:v>iPath revenue</x:v>
      </x:c>
      <x:c r="B30" s="152" t="n">
        <x:v>0.7</x:v>
      </x:c>
      <x:c r="C30" s="153" t="n">
        <x:v>2.39</x:v>
      </x:c>
      <x:c r="D30" s="153" t="n">
        <x:v>7.21</x:v>
      </x:c>
      <x:c r="E30" s="153" t="n">
        <x:v>16.01</x:v>
      </x:c>
      <x:c r="F30" s="154" t="n">
        <x:v>33.91</x:v>
      </x:c>
      <x:c r="G30" s="123"/>
    </x:row>
    <x:row r="31" ht="15" hidden="0" customHeight="1">
      <x:c r="A31" s="129" t="str">
        <x:v>Moolde revenue</x:v>
      </x:c>
      <x:c r="B31" s="152" t="n">
        <x:v>-0.1</x:v>
      </x:c>
      <x:c r="C31" s="153" t="n">
        <x:v>0.2</x:v>
      </x:c>
      <x:c r="D31" s="153" t="n">
        <x:v>0.8</x:v>
      </x:c>
      <x:c r="E31" s="153" t="n">
        <x:v>1.8</x:v>
      </x:c>
      <x:c r="F31" s="154" t="n">
        <x:v>3</x:v>
      </x:c>
      <x:c r="G31" s="123"/>
    </x:row>
    <x:row r="32" ht="15" hidden="0" customHeight="1">
      <x:c r="A32" s="129" t="str">
        <x:v>Internacional revenue</x:v>
      </x:c>
      <x:c r="B32" s="152" t="n">
        <x:v>0</x:v>
      </x:c>
      <x:c r="C32" s="153" t="n">
        <x:v>0</x:v>
      </x:c>
      <x:c r="D32" s="153" t="n">
        <x:v>1.5</x:v>
      </x:c>
      <x:c r="E32" s="153" t="n">
        <x:v>4</x:v>
      </x:c>
      <x:c r="F32" s="154" t="n">
        <x:v>12</x:v>
      </x:c>
      <x:c r="G32" s="123"/>
    </x:row>
    <x:row r="33" ht="15" hidden="0" customHeight="1">
      <x:c r="A33" s="129" t="str">
        <x:v>Financial Layer revenue</x:v>
      </x:c>
      <x:c r="B33" s="152" t="n">
        <x:v>0</x:v>
      </x:c>
      <x:c r="C33" s="153" t="n">
        <x:v>0.3</x:v>
      </x:c>
      <x:c r="D33" s="153" t="n">
        <x:v>1.2</x:v>
      </x:c>
      <x:c r="E33" s="153" t="n">
        <x:v>3</x:v>
      </x:c>
      <x:c r="F33" s="154" t="n">
        <x:v>9</x:v>
      </x:c>
      <x:c r="G33" s="123"/>
    </x:row>
    <x:row r="34" ht="15" hidden="0" customHeight="1">
      <x:c r="A34" s="129" t="str">
        <x:v>Margen Asset OS</x:v>
      </x:c>
      <x:c r="B34" s="140" t="n">
        <x:v>0.74</x:v>
      </x:c>
      <x:c r="C34" s="141" t="n">
        <x:v>0.75</x:v>
      </x:c>
      <x:c r="D34" s="141" t="n">
        <x:v>0.77</x:v>
      </x:c>
      <x:c r="E34" s="141" t="n">
        <x:v>0.79</x:v>
      </x:c>
      <x:c r="F34" s="142" t="n">
        <x:v>0.82</x:v>
      </x:c>
      <x:c r="G34" s="123"/>
    </x:row>
    <x:row r="35" ht="15" hidden="0" customHeight="1">
      <x:c r="A35" s="133" t="str">
        <x:v>Margen iPath</x:v>
      </x:c>
      <x:c r="B35" s="146" t="n">
        <x:v>0.38</x:v>
      </x:c>
      <x:c r="C35" s="147" t="n">
        <x:v>0.4</x:v>
      </x:c>
      <x:c r="D35" s="147" t="n">
        <x:v>0.42</x:v>
      </x:c>
      <x:c r="E35" s="147" t="n">
        <x:v>0.44</x:v>
      </x:c>
      <x:c r="F35" s="148" t="n">
        <x:v>0.48</x:v>
      </x:c>
      <x:c r="G35" s="123"/>
    </x:row>
    <x:row r="36" ht="15" hidden="0" customHeight="1">
      <x:c r="A36" s="125" t="str">
        <x:v>Margen Marketplace</x:v>
      </x:c>
      <x:c r="B36" s="149" t="n">
        <x:v>0.78</x:v>
      </x:c>
      <x:c r="C36" s="150" t="n">
        <x:v>0.8</x:v>
      </x:c>
      <x:c r="D36" s="150" t="n">
        <x:v>0.82</x:v>
      </x:c>
      <x:c r="E36" s="150" t="n">
        <x:v>0.84</x:v>
      </x:c>
      <x:c r="F36" s="151" t="n">
        <x:v>0.86</x:v>
      </x:c>
      <x:c r="G36" s="123"/>
    </x:row>
    <x:row r="37" ht="15" hidden="0" customHeight="1">
      <x:c r="A37" s="129" t="str">
        <x:v>Margen Internacional</x:v>
      </x:c>
      <x:c r="B37" s="140" t="n">
        <x:v>0.6</x:v>
      </x:c>
      <x:c r="C37" s="141" t="n">
        <x:v>0.65</x:v>
      </x:c>
      <x:c r="D37" s="141" t="n">
        <x:v>0.68</x:v>
      </x:c>
      <x:c r="E37" s="141" t="n">
        <x:v>0.7</x:v>
      </x:c>
      <x:c r="F37" s="142" t="n">
        <x:v>0.75</x:v>
      </x:c>
      <x:c r="G37" s="123"/>
    </x:row>
    <x:row r="38" ht="15" hidden="0" customHeight="1">
      <x:c r="A38" s="129" t="str">
        <x:v>Margen Financial Layer</x:v>
      </x:c>
      <x:c r="B38" s="140" t="n">
        <x:v>0.62</x:v>
      </x:c>
      <x:c r="C38" s="141" t="n">
        <x:v>0.68</x:v>
      </x:c>
      <x:c r="D38" s="141" t="n">
        <x:v>0.72</x:v>
      </x:c>
      <x:c r="E38" s="141" t="n">
        <x:v>0.75</x:v>
      </x:c>
      <x:c r="F38" s="142" t="n">
        <x:v>0.85</x:v>
      </x:c>
      <x:c r="G38" s="123"/>
    </x:row>
    <x:row r="39" ht="15" hidden="0" customHeight="1">
      <x:c r="A39" s="129" t="str">
        <x:v>FTE</x:v>
      </x:c>
      <x:c r="B39" s="130" t="n">
        <x:v>20</x:v>
      </x:c>
      <x:c r="C39" s="131" t="n">
        <x:v>45</x:v>
      </x:c>
      <x:c r="D39" s="131" t="n">
        <x:v>90</x:v>
      </x:c>
      <x:c r="E39" s="131" t="n">
        <x:v>145</x:v>
      </x:c>
      <x:c r="F39" s="132" t="n">
        <x:v>205</x:v>
      </x:c>
      <x:c r="G39" s="123"/>
    </x:row>
    <x:row r="40" ht="15" hidden="0" customHeight="1">
      <x:c r="A40" s="129" t="str">
        <x:v>Coste medio FTE</x:v>
      </x:c>
      <x:c r="B40" s="130" t="n">
        <x:v>65000</x:v>
      </x:c>
      <x:c r="C40" s="131" t="n">
        <x:v>75000</x:v>
      </x:c>
      <x:c r="D40" s="131" t="n">
        <x:v>82000</x:v>
      </x:c>
      <x:c r="E40" s="131" t="n">
        <x:v>90000</x:v>
      </x:c>
      <x:c r="F40" s="132" t="n">
        <x:v>96000</x:v>
      </x:c>
      <x:c r="G40" s="123"/>
    </x:row>
    <x:row r="41" ht="15" hidden="0" customHeight="1">
      <x:c r="A41" s="129" t="str">
        <x:v>Otros OPEX</x:v>
      </x:c>
      <x:c r="B41" s="152" t="n">
        <x:v>1.94</x:v>
      </x:c>
      <x:c r="C41" s="153" t="n">
        <x:v>2.99</x:v>
      </x:c>
      <x:c r="D41" s="153" t="n">
        <x:v>5.04</x:v>
      </x:c>
      <x:c r="E41" s="153" t="n">
        <x:v>5.85</x:v>
      </x:c>
      <x:c r="F41" s="154" t="n">
        <x:v>12.6</x:v>
      </x:c>
      <x:c r="G41" s="123"/>
    </x:row>
    <x:row r="42" ht="15" hidden="0" customHeight="1">
      <x:c r="A42" s="129" t="str">
        <x:v>OPEX incremental V3.1</x:v>
      </x:c>
      <x:c r="B42" s="152" t="n">
        <x:v>0.35</x:v>
      </x:c>
      <x:c r="C42" s="153" t="n">
        <x:v>0.65</x:v>
      </x:c>
      <x:c r="D42" s="153" t="n">
        <x:v>1</x:v>
      </x:c>
      <x:c r="E42" s="153" t="n">
        <x:v>1.4</x:v>
      </x:c>
      <x:c r="F42" s="154" t="n">
        <x:v>1.8</x:v>
      </x:c>
      <x:c r="G42" s="123"/>
    </x:row>
    <x:row r="43" ht="15" hidden="0" customHeight="1">
      <x:c r="A43" s="129" t="str">
        <x:v>WC % crecimiento</x:v>
      </x:c>
      <x:c r="B43" s="140" t="n">
        <x:v>0.14</x:v>
      </x:c>
      <x:c r="C43" s="141" t="n">
        <x:v>0.15</x:v>
      </x:c>
      <x:c r="D43" s="141" t="n">
        <x:v>0.16</x:v>
      </x:c>
      <x:c r="E43" s="141" t="n">
        <x:v>0.17</x:v>
      </x:c>
      <x:c r="F43" s="142" t="n">
        <x:v>0.18</x:v>
      </x:c>
      <x:c r="G43" s="123"/>
    </x:row>
    <x:row r="44" ht="15" hidden="0" customHeight="1">
      <x:c r="A44" s="133" t="str">
        <x:v>Capex</x:v>
      </x:c>
      <x:c r="B44" s="155" t="n">
        <x:v>1.8</x:v>
      </x:c>
      <x:c r="C44" s="156" t="n">
        <x:v>2</x:v>
      </x:c>
      <x:c r="D44" s="156" t="n">
        <x:v>2.5</x:v>
      </x:c>
      <x:c r="E44" s="156" t="n">
        <x:v>3</x:v>
      </x:c>
      <x:c r="F44" s="157" t="n">
        <x:v>4</x:v>
      </x:c>
      <x:c r="G44" s="123"/>
    </x:row>
    <x:row r="45" ht="15" hidden="0" customHeight="1">
      <x:c r="A45" s="125" t="str">
        <x:v>Tasa fiscal</x:v>
      </x:c>
      <x:c r="B45" s="149" t="n">
        <x:v>0.25</x:v>
      </x:c>
      <x:c r="C45" s="150" t="n">
        <x:v>0.25</x:v>
      </x:c>
      <x:c r="D45" s="150" t="n">
        <x:v>0.25</x:v>
      </x:c>
      <x:c r="E45" s="150" t="n">
        <x:v>0.25</x:v>
      </x:c>
      <x:c r="F45" s="151" t="n">
        <x:v>0.25</x:v>
      </x:c>
      <x:c r="G45" s="123"/>
    </x:row>
    <x:row r="46" ht="15" hidden="0" customHeight="1">
      <x:c r="A46" s="129" t="str">
        <x:v>Financiacion</x:v>
      </x:c>
      <x:c r="B46" s="152" t="n">
        <x:v>3.5</x:v>
      </x:c>
      <x:c r="C46" s="153" t="n">
        <x:v>3</x:v>
      </x:c>
      <x:c r="D46" s="153" t="n">
        <x:v>1.5</x:v>
      </x:c>
      <x:c r="E46" s="153" t="n">
        <x:v>0</x:v>
      </x:c>
      <x:c r="F46" s="154" t="n">
        <x:v>0</x:v>
      </x:c>
      <x:c r="G46" s="123"/>
    </x:row>
    <x:row r="47" ht="15" hidden="0" customHeight="1">
      <x:c r="A47" s="129" t="str">
        <x:v>Multiplo ingresos</x:v>
      </x:c>
      <x:c r="B47" s="158" t="n">
        <x:v>5</x:v>
      </x:c>
      <x:c r="C47" s="159" t="n">
        <x:v>5.5</x:v>
      </x:c>
      <x:c r="D47" s="159" t="n">
        <x:v>6</x:v>
      </x:c>
      <x:c r="E47" s="159" t="n">
        <x:v>6.5</x:v>
      </x:c>
      <x:c r="F47" s="160" t="n">
        <x:v>7</x:v>
      </x:c>
      <x:c r="G47" s="123"/>
    </x:row>
    <x:row r="48" ht="15" hidden="0" customHeight="1">
      <x:c r="A48" s="129" t="str">
        <x:v>Multiplo EBITDA</x:v>
      </x:c>
      <x:c r="B48" s="158" t="n">
        <x:v>13</x:v>
      </x:c>
      <x:c r="C48" s="159" t="n">
        <x:v>14</x:v>
      </x:c>
      <x:c r="D48" s="159" t="n">
        <x:v>15</x:v>
      </x:c>
      <x:c r="E48" s="159" t="n">
        <x:v>16</x:v>
      </x:c>
      <x:c r="F48" s="160" t="n">
        <x:v>17</x:v>
      </x:c>
      <x:c r="G48" s="123"/>
    </x:row>
    <x:row r="49" ht="15" hidden="0" customHeight="1">
      <x:c r="A49" s="133" t="str">
        <x:v>Fee de Red Montaje</x:v>
      </x:c>
      <x:c r="B49" s="161" t="n">
        <x:v>2.5</x:v>
      </x:c>
      <x:c r="C49" s="162" t="n">
        <x:v>2.5</x:v>
      </x:c>
      <x:c r="D49" s="162" t="n">
        <x:v>2.5</x:v>
      </x:c>
      <x:c r="E49" s="162" t="n">
        <x:v>2.5</x:v>
      </x:c>
      <x:c r="F49" s="163" t="n">
        <x:v>2.5</x:v>
      </x:c>
      <x:c r="G49" s="123"/>
    </x:row>
    <x:row r="50" ht="15" hidden="0" customHeight="1">
      <x:c r="A50" s="123"/>
      <x:c r="B50" s="123"/>
      <x:c r="C50" s="123"/>
      <x:c r="D50" s="123"/>
      <x:c r="E50" s="123"/>
      <x:c r="F50" s="123"/>
      <x:c r="G50" s="123"/>
    </x:row>
    <x:row r="51" ht="15" hidden="0" customHeight="1">
      <x:c r="A51" s="123"/>
      <x:c r="B51" s="123"/>
      <x:c r="C51" s="123"/>
      <x:c r="D51" s="123"/>
      <x:c r="E51" s="123"/>
      <x:c r="F51" s="123"/>
      <x:c r="G51" s="123"/>
    </x:row>
    <x:row r="52" ht="15" hidden="0" customHeight="1">
      <x:c r="A52" s="123"/>
      <x:c r="B52" s="123"/>
      <x:c r="C52" s="123"/>
      <x:c r="D52" s="123"/>
      <x:c r="E52" s="123"/>
      <x:c r="F52" s="123"/>
      <x:c r="G52" s="123"/>
    </x:row>
    <x:row r="53" ht="15" hidden="0" customHeight="1">
      <x:c r="A53" s="123"/>
      <x:c r="B53" s="123"/>
      <x:c r="C53" s="123"/>
      <x:c r="D53" s="123"/>
      <x:c r="E53" s="123"/>
      <x:c r="F53" s="123"/>
      <x:c r="G53" s="123"/>
    </x:row>
    <x:row r="54" ht="15" hidden="0" customHeight="1">
      <x:c r="A54" s="123"/>
      <x:c r="B54" s="123"/>
      <x:c r="C54" s="123"/>
      <x:c r="D54" s="123"/>
      <x:c r="E54" s="123"/>
      <x:c r="F54" s="123"/>
      <x:c r="G54" s="123"/>
    </x:row>
    <x:row r="55" ht="15" hidden="0" customHeight="1">
      <x:c r="A55" s="123"/>
      <x:c r="B55" s="123"/>
      <x:c r="C55" s="123"/>
      <x:c r="D55" s="123"/>
      <x:c r="E55" s="123"/>
      <x:c r="F55" s="123"/>
      <x:c r="G55" s="123"/>
    </x:row>
    <x:row r="56" ht="15" hidden="0" customHeight="1">
      <x:c r="A56" s="123"/>
      <x:c r="B56" s="123"/>
      <x:c r="C56" s="123"/>
      <x:c r="D56" s="123"/>
      <x:c r="E56" s="123"/>
      <x:c r="F56" s="123"/>
      <x:c r="G56" s="123"/>
    </x:row>
    <x:row r="57" ht="15" hidden="0" customHeight="1">
      <x:c r="A57" s="123"/>
      <x:c r="B57" s="123"/>
      <x:c r="C57" s="123"/>
      <x:c r="D57" s="123"/>
      <x:c r="E57" s="123"/>
      <x:c r="F57" s="123"/>
      <x:c r="G57" s="123"/>
    </x:row>
    <x:row r="58" ht="15" hidden="0" customHeight="1">
      <x:c r="A58" s="123"/>
      <x:c r="B58" s="123"/>
      <x:c r="C58" s="123"/>
      <x:c r="D58" s="123"/>
      <x:c r="E58" s="123"/>
      <x:c r="F58" s="123"/>
      <x:c r="G58" s="123"/>
    </x:row>
    <x:row r="59" ht="15" hidden="0" customHeight="1">
      <x:c r="A59" s="123"/>
      <x:c r="B59" s="123"/>
      <x:c r="C59" s="123"/>
      <x:c r="D59" s="123"/>
      <x:c r="E59" s="123"/>
      <x:c r="F59" s="123"/>
      <x:c r="G59" s="123"/>
    </x:row>
    <x:row r="60" ht="15" hidden="0" customHeight="1">
      <x:c r="A60" s="123"/>
      <x:c r="B60" s="123"/>
      <x:c r="C60" s="123"/>
      <x:c r="D60" s="123"/>
      <x:c r="E60" s="123"/>
      <x:c r="F60" s="123"/>
      <x:c r="G60" s="123"/>
    </x:row>
    <x:row r="61" ht="15" hidden="0" customHeight="1">
      <x:c r="A61" s="123"/>
      <x:c r="B61" s="123"/>
      <x:c r="C61" s="123"/>
      <x:c r="D61" s="123"/>
      <x:c r="E61" s="123"/>
      <x:c r="F61" s="123"/>
      <x:c r="G61" s="123"/>
    </x:row>
    <x:row r="62" ht="15" hidden="0" customHeight="1">
      <x:c r="A62" s="123"/>
      <x:c r="B62" s="123"/>
      <x:c r="C62" s="123"/>
      <x:c r="D62" s="123"/>
      <x:c r="E62" s="123"/>
      <x:c r="F62" s="123"/>
      <x:c r="G62" s="123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5.87999725341797" hidden="0" customWidth="1"/>
    <x:col min="2" max="2" width="17.25" hidden="0" customWidth="1"/>
    <x:col min="3" max="3" width="23.5" hidden="0" customWidth="1"/>
    <x:col min="4" max="4" width="8.25" hidden="0" customWidth="1"/>
    <x:col min="5" max="5" width="7.75" hidden="0" customWidth="1"/>
    <x:col min="6" max="6" width="7.75" hidden="0" customWidth="1"/>
    <x:col min="7" max="7" width="7.880000114440918" hidden="0" customWidth="1"/>
    <x:col min="8" max="8" width="33.25" hidden="0" customWidth="1"/>
    <x:col min="9" max="9" width="5.630000114440918" hidden="0" customWidth="1"/>
    <x:col min="10" max="10" width="5.880000114440918" hidden="0" customWidth="1"/>
    <x:col min="11" max="11" width="5.5" hidden="0" customWidth="1"/>
    <x:col min="12" max="12" width="6.380000114440918" hidden="0" customWidth="1"/>
    <x:col min="13" max="13" width="6.380000114440918" hidden="0" customWidth="1"/>
    <x:col min="14" max="14" width="6.380000114440918" hidden="0" customWidth="1"/>
    <x:col min="15" max="15" width="6.380000114440918" hidden="0" customWidth="1"/>
    <x:col min="16" max="16" width="6" hidden="0" customWidth="1"/>
    <x:col min="17" max="17" width="5.5" hidden="0" customWidth="1"/>
    <x:col min="18" max="18" width="5.5" hidden="0" customWidth="1"/>
    <x:col min="19" max="19" width="5.75" hidden="0" customWidth="1"/>
    <x:col min="20" max="20" width="5.880000114440918" hidden="0" customWidth="1"/>
    <x:col min="21" max="21" width="6.380000114440918" hidden="0" customWidth="1"/>
    <x:col min="22" max="22" width="6.380000114440918" hidden="0" customWidth="1"/>
    <x:col min="23" max="23" width="6.380000114440918" hidden="0" customWidth="1"/>
    <x:col min="24" max="24" width="5.5" hidden="0" customWidth="1"/>
    <x:col min="25" max="25" width="7.75" hidden="0" customWidth="1"/>
    <x:col min="26" max="26" width="7.75" hidden="0" customWidth="1"/>
    <x:col min="27" max="27" width="16.25" hidden="0" customWidth="1"/>
    <x:col min="28" max="28" width="10.630000114440918" hidden="0" customWidth="1"/>
    <x:col min="29" max="29" width="15.380000114440918" hidden="0" customWidth="1"/>
    <x:col min="30" max="30" width="30.1299991607666" hidden="0" customWidth="1"/>
  </x:cols>
  <x:sheetData>
    <x:row r="1" ht="15" hidden="0" customHeight="1">
      <x:c r="A1" s="121" t="str">
        <x:v>02 Plan 300K</x:v>
      </x:c>
      <x:c r="B1" s="121"/>
      <x:c r="C1" s="121"/>
      <x:c r="D1" s="121"/>
      <x:c r="E1" s="121"/>
      <x:c r="F1" s="121"/>
      <x:c r="G1" s="121"/>
      <x:c r="H1" s="121"/>
      <x:c r="I1" s="123"/>
      <x:c r="J1" s="123"/>
      <x:c r="K1" s="123"/>
      <x:c r="L1" s="123"/>
      <x:c r="M1" s="123"/>
      <x:c r="N1" s="123"/>
      <x:c r="O1" s="123"/>
      <x:c r="P1" s="123"/>
      <x:c r="Q1" s="123"/>
      <x:c r="R1" s="123"/>
      <x:c r="S1" s="123"/>
      <x:c r="T1" s="123"/>
      <x:c r="U1" s="123"/>
      <x:c r="V1" s="123"/>
      <x:c r="W1" s="123"/>
      <x:c r="X1" s="123"/>
      <x:c r="Y1" s="123"/>
      <x:c r="Z1" s="123"/>
      <x:c r="AA1" s="123"/>
      <x:c r="AB1" s="123"/>
      <x:c r="AC1" s="123"/>
      <x:c r="AD1" s="123"/>
    </x:row>
    <x:row r="2" ht="15" hidden="0" customHeight="1">
      <x:c r="A2" s="122" t="str">
        <x:v>Plan base obligatorio julio 2026 - diciembre 2027. Management case y lectura risk-adjusted.</x:v>
      </x:c>
      <x:c r="B2" s="122"/>
      <x:c r="C2" s="122"/>
      <x:c r="D2" s="122"/>
      <x:c r="E2" s="122"/>
      <x:c r="F2" s="122"/>
      <x:c r="G2" s="122"/>
      <x:c r="H2" s="122"/>
      <x:c r="I2" s="123"/>
      <x:c r="J2" s="123"/>
      <x:c r="K2" s="123"/>
      <x:c r="L2" s="123"/>
      <x:c r="M2" s="123"/>
      <x:c r="N2" s="123"/>
      <x:c r="O2" s="123"/>
      <x:c r="P2" s="123"/>
      <x:c r="Q2" s="123"/>
      <x:c r="R2" s="123"/>
      <x:c r="S2" s="123"/>
      <x:c r="T2" s="123"/>
      <x:c r="U2" s="123"/>
      <x:c r="V2" s="123"/>
      <x:c r="W2" s="123"/>
      <x:c r="X2" s="123"/>
      <x:c r="Y2" s="123"/>
      <x:c r="Z2" s="123"/>
      <x:c r="AA2" s="123"/>
      <x:c r="AB2" s="123"/>
      <x:c r="AC2" s="123"/>
      <x:c r="AD2" s="123"/>
    </x:row>
    <x:row r="3" ht="15" hidden="0" customHeight="1">
      <x:c r="A3" s="123"/>
      <x:c r="B3" s="123"/>
      <x:c r="C3" s="123"/>
      <x:c r="D3" s="123"/>
      <x:c r="E3" s="123"/>
      <x:c r="F3" s="123"/>
      <x:c r="G3" s="123"/>
      <x:c r="H3" s="123"/>
      <x:c r="I3" s="123"/>
      <x:c r="J3" s="123"/>
      <x:c r="K3" s="123"/>
      <x:c r="L3" s="123"/>
      <x:c r="M3" s="123"/>
      <x:c r="N3" s="123"/>
      <x:c r="O3" s="123"/>
      <x:c r="P3" s="123"/>
      <x:c r="Q3" s="123"/>
      <x:c r="R3" s="123"/>
      <x:c r="S3" s="123"/>
      <x:c r="T3" s="123"/>
      <x:c r="U3" s="123"/>
      <x:c r="V3" s="123"/>
      <x:c r="W3" s="123"/>
      <x:c r="X3" s="123"/>
      <x:c r="Y3" s="123"/>
      <x:c r="Z3" s="123"/>
      <x:c r="AA3" s="123"/>
      <x:c r="AB3" s="123"/>
      <x:c r="AC3" s="123"/>
      <x:c r="AD3" s="123"/>
    </x:row>
    <x:row r="4" ht="15" hidden="0" customHeight="1">
      <x:c r="A4" s="124" t="str">
        <x:v>Proyecto</x:v>
      </x:c>
      <x:c r="B4" s="124" t="str">
        <x:v>Tipo</x:v>
      </x:c>
      <x:c r="C4" s="124" t="str">
        <x:v>Gate</x:v>
      </x:c>
      <x:c r="D4" s="124" t="str">
        <x:v>GM %</x:v>
      </x:c>
      <x:c r="E4" s="124" t="str">
        <x:v>Prob. %</x:v>
      </x:c>
      <x:c r="F4" s="124" t="str">
        <x:v>Jul-26</x:v>
      </x:c>
      <x:c r="G4" s="124" t="str">
        <x:v>Ago-26</x:v>
      </x:c>
      <x:c r="H4" s="124" t="str">
        <x:v>Sep-26</x:v>
      </x:c>
      <x:c r="I4" s="124" t="str">
        <x:v>Oct-26</x:v>
      </x:c>
      <x:c r="J4" s="124" t="str">
        <x:v>Nov-26</x:v>
      </x:c>
      <x:c r="K4" s="124" t="str">
        <x:v>Dic-26</x:v>
      </x:c>
      <x:c r="L4" s="124" t="str">
        <x:v>Ene-27</x:v>
      </x:c>
      <x:c r="M4" s="124" t="str">
        <x:v>Feb-27</x:v>
      </x:c>
      <x:c r="N4" s="124" t="str">
        <x:v>Mar-27</x:v>
      </x:c>
      <x:c r="O4" s="124" t="str">
        <x:v>Abr-27</x:v>
      </x:c>
      <x:c r="P4" s="124" t="str">
        <x:v>May-27</x:v>
      </x:c>
      <x:c r="Q4" s="124" t="str">
        <x:v>Jun-27</x:v>
      </x:c>
      <x:c r="R4" s="124" t="str">
        <x:v>Jul-27</x:v>
      </x:c>
      <x:c r="S4" s="124" t="str">
        <x:v>Ago-27</x:v>
      </x:c>
      <x:c r="T4" s="124" t="str">
        <x:v>Sep-27</x:v>
      </x:c>
      <x:c r="U4" s="124" t="str">
        <x:v>Oct-27</x:v>
      </x:c>
      <x:c r="V4" s="124" t="str">
        <x:v>Nov-27</x:v>
      </x:c>
      <x:c r="W4" s="124" t="str">
        <x:v>Dic-27</x:v>
      </x:c>
      <x:c r="X4" s="124" t="str">
        <x:v>2026</x:v>
      </x:c>
      <x:c r="Y4" s="124" t="str">
        <x:v>2027</x:v>
      </x:c>
      <x:c r="Z4" s="124" t="str">
        <x:v>Total</x:v>
      </x:c>
      <x:c r="AA4" s="124" t="str">
        <x:v>Rev. ponderado 2027</x:v>
      </x:c>
      <x:c r="AB4" s="124" t="str">
        <x:v>Contrib. 2027</x:v>
      </x:c>
      <x:c r="AC4" s="124" t="str">
        <x:v>Contrib. pond. 2027</x:v>
      </x:c>
      <x:c r="AD4" s="124" t="str">
        <x:v>Notas</x:v>
      </x:c>
    </x:row>
    <x:row r="5" ht="15" hidden="0" customHeight="1">
      <x:c r="A5" s="123" t="str">
        <x:v>Piedrahita remate/caso</x:v>
      </x:c>
      <x:c r="B5" s="123" t="str">
        <x:v>Proyecto fisico</x:v>
      </x:c>
      <x:c r="C5" s="123" t="str">
        <x:v>En marcha</x:v>
      </x:c>
      <x:c r="D5" s="309" t="n">
        <x:v>0.3</x:v>
      </x:c>
      <x:c r="E5" s="309" t="n">
        <x:v>1</x:v>
      </x:c>
      <x:c r="F5" s="266" t="n">
        <x:v>0</x:v>
      </x:c>
      <x:c r="G5" s="266" t="n">
        <x:v>0</x:v>
      </x:c>
      <x:c r="H5" s="266" t="n">
        <x:v>16000</x:v>
      </x:c>
      <x:c r="I5" s="266" t="n">
        <x:v>0</x:v>
      </x:c>
      <x:c r="J5" s="266" t="n">
        <x:v>0</x:v>
      </x:c>
      <x:c r="K5" s="266" t="n">
        <x:v>0</x:v>
      </x:c>
      <x:c r="L5" s="266" t="n">
        <x:v>0</x:v>
      </x:c>
      <x:c r="M5" s="266" t="n">
        <x:v>0</x:v>
      </x:c>
      <x:c r="N5" s="266" t="n">
        <x:v>0</x:v>
      </x:c>
      <x:c r="O5" s="266" t="n">
        <x:v>0</x:v>
      </x:c>
      <x:c r="P5" s="266" t="n">
        <x:v>0</x:v>
      </x:c>
      <x:c r="Q5" s="266" t="n">
        <x:v>0</x:v>
      </x:c>
      <x:c r="R5" s="266" t="n">
        <x:v>0</x:v>
      </x:c>
      <x:c r="S5" s="266" t="n">
        <x:v>0</x:v>
      </x:c>
      <x:c r="T5" s="266" t="n">
        <x:v>0</x:v>
      </x:c>
      <x:c r="U5" s="266" t="n">
        <x:v>0</x:v>
      </x:c>
      <x:c r="V5" s="266" t="n">
        <x:v>0</x:v>
      </x:c>
      <x:c r="W5" s="266" t="n">
        <x:v>0</x:v>
      </x:c>
      <x:c r="X5" s="266" t="n">
        <x:f>SUM(F5:K5)</x:f>
        <x:v>16000</x:v>
      </x:c>
      <x:c r="Y5" s="266" t="n">
        <x:f>SUM(L5:W5)</x:f>
        <x:v>0</x:v>
      </x:c>
      <x:c r="Z5" s="266" t="n">
        <x:f>X5+Y5</x:f>
        <x:v>16000</x:v>
      </x:c>
      <x:c r="AA5" s="266" t="n">
        <x:f>Y5*E5</x:f>
        <x:v>0</x:v>
      </x:c>
      <x:c r="AB5" s="266" t="n">
        <x:f>Y5*D5</x:f>
        <x:v>0</x:v>
      </x:c>
      <x:c r="AC5" s="266" t="n">
        <x:f>AA5*D5</x:f>
        <x:v>0</x:v>
      </x:c>
      <x:c r="AD5" s="123" t="str">
        <x:v>Caso real, fotos, acta y cierre</x:v>
      </x:c>
    </x:row>
    <x:row r="6" ht="15" hidden="0" customHeight="1">
      <x:c r="A6" s="123" t="str">
        <x:v>Llar de Mar 2</x:v>
      </x:c>
      <x:c r="B6" s="123" t="str">
        <x:v>Proyecto constructivo</x:v>
      </x:c>
      <x:c r="C6" s="123" t="str">
        <x:v>Contrato + anticipo</x:v>
      </x:c>
      <x:c r="D6" s="309" t="n">
        <x:v>0.25</x:v>
      </x:c>
      <x:c r="E6" s="309" t="n">
        <x:v>0.8</x:v>
      </x:c>
      <x:c r="F6" s="266" t="n">
        <x:v>0</x:v>
      </x:c>
      <x:c r="G6" s="266" t="n">
        <x:v>0</x:v>
      </x:c>
      <x:c r="H6" s="266" t="n">
        <x:v>0</x:v>
      </x:c>
      <x:c r="I6" s="266" t="n">
        <x:v>0</x:v>
      </x:c>
      <x:c r="J6" s="266" t="n">
        <x:v>0</x:v>
      </x:c>
      <x:c r="K6" s="266" t="n">
        <x:v>0</x:v>
      </x:c>
      <x:c r="L6" s="266" t="n">
        <x:v>133750</x:v>
      </x:c>
      <x:c r="M6" s="266" t="n">
        <x:v>133750</x:v>
      </x:c>
      <x:c r="N6" s="266" t="n">
        <x:v>133750</x:v>
      </x:c>
      <x:c r="O6" s="266" t="n">
        <x:v>133750</x:v>
      </x:c>
      <x:c r="P6" s="266" t="n">
        <x:v>0</x:v>
      </x:c>
      <x:c r="Q6" s="266" t="n">
        <x:v>0</x:v>
      </x:c>
      <x:c r="R6" s="266" t="n">
        <x:v>0</x:v>
      </x:c>
      <x:c r="S6" s="266" t="n">
        <x:v>0</x:v>
      </x:c>
      <x:c r="T6" s="266" t="n">
        <x:v>0</x:v>
      </x:c>
      <x:c r="U6" s="266" t="n">
        <x:v>0</x:v>
      </x:c>
      <x:c r="V6" s="266" t="n">
        <x:v>0</x:v>
      </x:c>
      <x:c r="W6" s="266" t="n">
        <x:v>0</x:v>
      </x:c>
      <x:c r="X6" s="266" t="n">
        <x:f>SUM(F6:K6)</x:f>
        <x:v>0</x:v>
      </x:c>
      <x:c r="Y6" s="266" t="n">
        <x:f>SUM(L6:W6)</x:f>
        <x:v>535000</x:v>
      </x:c>
      <x:c r="Z6" s="266" t="n">
        <x:f>X6+Y6</x:f>
        <x:v>535000</x:v>
      </x:c>
      <x:c r="AA6" s="266" t="n">
        <x:f>Y6*E6</x:f>
        <x:v>428000</x:v>
      </x:c>
      <x:c r="AB6" s="266" t="n">
        <x:f>Y6*D6</x:f>
        <x:v>133750</x:v>
      </x:c>
      <x:c r="AC6" s="266" t="n">
        <x:f>AA6*D6</x:f>
        <x:v>107000</x:v>
      </x:c>
      <x:c r="AD6" s="123" t="str">
        <x:v>No activar coste sin anticipo</x:v>
      </x:c>
    </x:row>
    <x:row r="7" ht="15" hidden="0" customHeight="1">
      <x:c r="A7" s="123" t="str">
        <x:v>Digitalizacion fabricante partner piloto</x:v>
      </x:c>
      <x:c r="B7" s="123" t="str">
        <x:v>Factory Enablement</x:v>
      </x:c>
      <x:c r="C7" s="123" t="str">
        <x:v>m2 planta validados</x:v>
      </x:c>
      <x:c r="D7" s="309" t="n">
        <x:v>0.58</x:v>
      </x:c>
      <x:c r="E7" s="309" t="n">
        <x:v>0.7</x:v>
      </x:c>
      <x:c r="F7" s="266" t="n">
        <x:v>0</x:v>
      </x:c>
      <x:c r="G7" s="266" t="n">
        <x:v>0</x:v>
      </x:c>
      <x:c r="H7" s="266" t="n">
        <x:v>0</x:v>
      </x:c>
      <x:c r="I7" s="266" t="n">
        <x:v>0</x:v>
      </x:c>
      <x:c r="J7" s="266" t="n">
        <x:v>0</x:v>
      </x:c>
      <x:c r="K7" s="266" t="n">
        <x:v>0</x:v>
      </x:c>
      <x:c r="L7" s="266" t="n">
        <x:f>'02B_Partner_Economics'!$C$18*30%</x:f>
        <x:v>75000</x:v>
      </x:c>
      <x:c r="M7" s="266" t="n">
        <x:f>'02B_Partner_Economics'!$C$18*30%</x:f>
        <x:v>75000</x:v>
      </x:c>
      <x:c r="N7" s="266" t="n">
        <x:f>'02B_Partner_Economics'!$C$18*20%</x:f>
        <x:v>50000</x:v>
      </x:c>
      <x:c r="O7" s="266" t="n">
        <x:f>'02B_Partner_Economics'!$C$18*20%</x:f>
        <x:v>50000</x:v>
      </x:c>
      <x:c r="P7" s="266" t="n">
        <x:v>0</x:v>
      </x:c>
      <x:c r="Q7" s="266" t="n">
        <x:v>0</x:v>
      </x:c>
      <x:c r="R7" s="266" t="n">
        <x:v>0</x:v>
      </x:c>
      <x:c r="S7" s="266" t="n">
        <x:v>0</x:v>
      </x:c>
      <x:c r="T7" s="266" t="n">
        <x:v>0</x:v>
      </x:c>
      <x:c r="U7" s="266" t="n">
        <x:v>0</x:v>
      </x:c>
      <x:c r="V7" s="266" t="n">
        <x:v>0</x:v>
      </x:c>
      <x:c r="W7" s="266" t="n">
        <x:v>0</x:v>
      </x:c>
      <x:c r="X7" s="266" t="n">
        <x:f>SUM(F7:K7)</x:f>
        <x:v>0</x:v>
      </x:c>
      <x:c r="Y7" s="266" t="n">
        <x:f>SUM(L7:W7)</x:f>
        <x:v>250000</x:v>
      </x:c>
      <x:c r="Z7" s="266" t="n">
        <x:f>X7+Y7</x:f>
        <x:v>250000</x:v>
      </x:c>
      <x:c r="AA7" s="266" t="n">
        <x:f>Y7*E7</x:f>
        <x:v>175000</x:v>
      </x:c>
      <x:c r="AB7" s="266" t="n">
        <x:f>Y7*D7</x:f>
        <x:v>145000</x:v>
      </x:c>
      <x:c r="AC7" s="266" t="n">
        <x:f>AA7*D7</x:f>
        <x:v>101500</x:v>
      </x:c>
      <x:c r="AD7" s="123" t="str">
        <x:v>Tarifa por superficie real de instalaciones</x:v>
      </x:c>
    </x:row>
    <x:row r="8" ht="15" hidden="0" customHeight="1">
      <x:c r="A8" s="123" t="str">
        <x:v>Digitalizacion equipo de montaje</x:v>
      </x:c>
      <x:c r="B8" s="123" t="str">
        <x:v>Crew Enablement</x:v>
      </x:c>
      <x:c r="C8" s="123" t="str">
        <x:v>Cuadrillas y operarios validados</x:v>
      </x:c>
      <x:c r="D8" s="309" t="n">
        <x:v>0.62</x:v>
      </x:c>
      <x:c r="E8" s="309" t="n">
        <x:v>0.7</x:v>
      </x:c>
      <x:c r="F8" s="266" t="n">
        <x:v>0</x:v>
      </x:c>
      <x:c r="G8" s="266" t="n">
        <x:v>0</x:v>
      </x:c>
      <x:c r="H8" s="266" t="n">
        <x:v>0</x:v>
      </x:c>
      <x:c r="I8" s="266" t="n">
        <x:v>0</x:v>
      </x:c>
      <x:c r="J8" s="266" t="n">
        <x:v>0</x:v>
      </x:c>
      <x:c r="K8" s="266" t="n">
        <x:v>0</x:v>
      </x:c>
      <x:c r="L8" s="266" t="n">
        <x:v>0</x:v>
      </x:c>
      <x:c r="M8" s="266" t="n">
        <x:v>0</x:v>
      </x:c>
      <x:c r="N8" s="266" t="n">
        <x:v>0</x:v>
      </x:c>
      <x:c r="O8" s="266" t="n">
        <x:f>'02B_Partner_Economics'!$C$19</x:f>
        <x:v>35000</x:v>
      </x:c>
      <x:c r="P8" s="266" t="n">
        <x:v>0</x:v>
      </x:c>
      <x:c r="Q8" s="266" t="n">
        <x:v>0</x:v>
      </x:c>
      <x:c r="R8" s="266" t="n">
        <x:v>0</x:v>
      </x:c>
      <x:c r="S8" s="266" t="n">
        <x:v>0</x:v>
      </x:c>
      <x:c r="T8" s="266" t="n">
        <x:v>0</x:v>
      </x:c>
      <x:c r="U8" s="266" t="n">
        <x:v>0</x:v>
      </x:c>
      <x:c r="V8" s="266" t="n">
        <x:v>0</x:v>
      </x:c>
      <x:c r="W8" s="266" t="n">
        <x:v>0</x:v>
      </x:c>
      <x:c r="X8" s="266" t="n">
        <x:f>SUM(F8:K8)</x:f>
        <x:v>0</x:v>
      </x:c>
      <x:c r="Y8" s="266" t="n">
        <x:f>SUM(L8:W8)</x:f>
        <x:v>35000</x:v>
      </x:c>
      <x:c r="Z8" s="266" t="n">
        <x:f>X8+Y8</x:f>
        <x:v>35000</x:v>
      </x:c>
      <x:c r="AA8" s="266" t="n">
        <x:f>Y8*E8</x:f>
        <x:v>24500</x:v>
      </x:c>
      <x:c r="AB8" s="266" t="n">
        <x:f>Y8*D8</x:f>
        <x:v>21700</x:v>
      </x:c>
      <x:c r="AC8" s="266" t="n">
        <x:f>AA8*D8</x:f>
        <x:v>15190</x:v>
      </x:c>
      <x:c r="AD8" s="123" t="str">
        <x:v>Hasta 2 cuadrillas en el caso base</x:v>
      </x:c>
    </x:row>
    <x:row r="9" ht="15" hidden="0" customHeight="1">
      <x:c r="A9" s="123" t="str">
        <x:v>Fee de Red Fabricante - 52.000 m2</x:v>
      </x:c>
      <x:c r="B9" s="123" t="str">
        <x:v>Usage fee</x:v>
      </x:c>
      <x:c r="C9" s="123" t="str">
        <x:v>m2 fabricados verificados</x:v>
      </x:c>
      <x:c r="D9" s="309" t="n">
        <x:v>0.86</x:v>
      </x:c>
      <x:c r="E9" s="309" t="n">
        <x:v>0.7</x:v>
      </x:c>
      <x:c r="F9" s="266" t="n">
        <x:v>0</x:v>
      </x:c>
      <x:c r="G9" s="266" t="n">
        <x:v>0</x:v>
      </x:c>
      <x:c r="H9" s="266" t="n">
        <x:v>0</x:v>
      </x:c>
      <x:c r="I9" s="266" t="n">
        <x:v>0</x:v>
      </x:c>
      <x:c r="J9" s="266" t="n">
        <x:v>0</x:v>
      </x:c>
      <x:c r="K9" s="266" t="n">
        <x:v>0</x:v>
      </x:c>
      <x:c r="L9" s="266" t="n">
        <x:v>0</x:v>
      </x:c>
      <x:c r="M9" s="266" t="n">
        <x:f>'02B_Partner_Economics'!$B$20*'02B_Partner_Economics'!$B$21/11</x:f>
        <x:v>11818.181818181818</x:v>
      </x:c>
      <x:c r="N9" s="266" t="n">
        <x:f>'02B_Partner_Economics'!$B$20*'02B_Partner_Economics'!$B$21/11</x:f>
        <x:v>11818.181818181818</x:v>
      </x:c>
      <x:c r="O9" s="266" t="n">
        <x:f>'02B_Partner_Economics'!$B$20*'02B_Partner_Economics'!$B$21/11</x:f>
        <x:v>11818.181818181818</x:v>
      </x:c>
      <x:c r="P9" s="266" t="n">
        <x:f>'02B_Partner_Economics'!$B$20*'02B_Partner_Economics'!$B$21/11</x:f>
        <x:v>11818.181818181818</x:v>
      </x:c>
      <x:c r="Q9" s="266" t="n">
        <x:f>'02B_Partner_Economics'!$B$20*'02B_Partner_Economics'!$B$21/11</x:f>
        <x:v>11818.181818181818</x:v>
      </x:c>
      <x:c r="R9" s="266" t="n">
        <x:f>'02B_Partner_Economics'!$B$20*'02B_Partner_Economics'!$B$21/11</x:f>
        <x:v>11818.181818181818</x:v>
      </x:c>
      <x:c r="S9" s="266" t="n">
        <x:f>'02B_Partner_Economics'!$B$20*'02B_Partner_Economics'!$B$21/11</x:f>
        <x:v>11818.181818181818</x:v>
      </x:c>
      <x:c r="T9" s="266" t="n">
        <x:f>'02B_Partner_Economics'!$B$20*'02B_Partner_Economics'!$B$21/11</x:f>
        <x:v>11818.181818181818</x:v>
      </x:c>
      <x:c r="U9" s="266" t="n">
        <x:f>'02B_Partner_Economics'!$B$20*'02B_Partner_Economics'!$B$21/11</x:f>
        <x:v>11818.181818181818</x:v>
      </x:c>
      <x:c r="V9" s="266" t="n">
        <x:f>'02B_Partner_Economics'!$B$20*'02B_Partner_Economics'!$B$21/11</x:f>
        <x:v>11818.181818181818</x:v>
      </x:c>
      <x:c r="W9" s="266" t="n">
        <x:f>'02B_Partner_Economics'!$B$20*'02B_Partner_Economics'!$B$21/11</x:f>
        <x:v>11818.181818181818</x:v>
      </x:c>
      <x:c r="X9" s="266" t="n">
        <x:f>SUM(F9:K9)</x:f>
        <x:v>0</x:v>
      </x:c>
      <x:c r="Y9" s="266" t="n">
        <x:f>SUM(L9:W9)</x:f>
        <x:v>130000.00000000003</x:v>
      </x:c>
      <x:c r="Z9" s="266" t="n">
        <x:f>X9+Y9</x:f>
        <x:v>130000.00000000003</x:v>
      </x:c>
      <x:c r="AA9" s="266" t="n">
        <x:f>Y9*E9</x:f>
        <x:v>91000.00000000001</x:v>
      </x:c>
      <x:c r="AB9" s="266" t="n">
        <x:f>Y9*D9</x:f>
        <x:v>111800.00000000003</x:v>
      </x:c>
      <x:c r="AC9" s="266" t="n">
        <x:f>AA9*D9</x:f>
        <x:v>78260.00000000001</x:v>
      </x:c>
      <x:c r="AD9" s="123" t="str">
        <x:v>2,50 EUR/m2 sobre ejecucion real</x:v>
      </x:c>
    </x:row>
    <x:row r="10" ht="15" hidden="0" customHeight="1">
      <x:c r="A10" s="123" t="str">
        <x:v>Fee de Red Montaje - 52.000 m2</x:v>
      </x:c>
      <x:c r="B10" s="123" t="str">
        <x:v>Usage fee</x:v>
      </x:c>
      <x:c r="C10" s="123" t="str">
        <x:v>m2 instalados verificados</x:v>
      </x:c>
      <x:c r="D10" s="309" t="n">
        <x:v>0.84</x:v>
      </x:c>
      <x:c r="E10" s="309" t="n">
        <x:v>0.7</x:v>
      </x:c>
      <x:c r="F10" s="266" t="n">
        <x:v>0</x:v>
      </x:c>
      <x:c r="G10" s="266" t="n">
        <x:v>0</x:v>
      </x:c>
      <x:c r="H10" s="266" t="n">
        <x:v>0</x:v>
      </x:c>
      <x:c r="I10" s="266" t="n">
        <x:v>0</x:v>
      </x:c>
      <x:c r="J10" s="266" t="n">
        <x:v>0</x:v>
      </x:c>
      <x:c r="K10" s="266" t="n">
        <x:v>0</x:v>
      </x:c>
      <x:c r="L10" s="266" t="n">
        <x:v>0</x:v>
      </x:c>
      <x:c r="M10" s="266" t="n">
        <x:f>'02B_Partner_Economics'!$B$20*'02B_Partner_Economics'!$B$22/11</x:f>
        <x:v>11818.181818181818</x:v>
      </x:c>
      <x:c r="N10" s="266" t="n">
        <x:f>'02B_Partner_Economics'!$B$20*'02B_Partner_Economics'!$B$22/11</x:f>
        <x:v>11818.181818181818</x:v>
      </x:c>
      <x:c r="O10" s="266" t="n">
        <x:f>'02B_Partner_Economics'!$B$20*'02B_Partner_Economics'!$B$22/11</x:f>
        <x:v>11818.181818181818</x:v>
      </x:c>
      <x:c r="P10" s="266" t="n">
        <x:f>'02B_Partner_Economics'!$B$20*'02B_Partner_Economics'!$B$22/11</x:f>
        <x:v>11818.181818181818</x:v>
      </x:c>
      <x:c r="Q10" s="266" t="n">
        <x:f>'02B_Partner_Economics'!$B$20*'02B_Partner_Economics'!$B$22/11</x:f>
        <x:v>11818.181818181818</x:v>
      </x:c>
      <x:c r="R10" s="266" t="n">
        <x:f>'02B_Partner_Economics'!$B$20*'02B_Partner_Economics'!$B$22/11</x:f>
        <x:v>11818.181818181818</x:v>
      </x:c>
      <x:c r="S10" s="266" t="n">
        <x:f>'02B_Partner_Economics'!$B$20*'02B_Partner_Economics'!$B$22/11</x:f>
        <x:v>11818.181818181818</x:v>
      </x:c>
      <x:c r="T10" s="266" t="n">
        <x:f>'02B_Partner_Economics'!$B$20*'02B_Partner_Economics'!$B$22/11</x:f>
        <x:v>11818.181818181818</x:v>
      </x:c>
      <x:c r="U10" s="266" t="n">
        <x:f>'02B_Partner_Economics'!$B$20*'02B_Partner_Economics'!$B$22/11</x:f>
        <x:v>11818.181818181818</x:v>
      </x:c>
      <x:c r="V10" s="266" t="n">
        <x:f>'02B_Partner_Economics'!$B$20*'02B_Partner_Economics'!$B$22/11</x:f>
        <x:v>11818.181818181818</x:v>
      </x:c>
      <x:c r="W10" s="266" t="n">
        <x:f>'02B_Partner_Economics'!$B$20*'02B_Partner_Economics'!$B$22/11</x:f>
        <x:v>11818.181818181818</x:v>
      </x:c>
      <x:c r="X10" s="266" t="n">
        <x:f>SUM(F10:K10)</x:f>
        <x:v>0</x:v>
      </x:c>
      <x:c r="Y10" s="266" t="n">
        <x:f>SUM(L10:W10)</x:f>
        <x:v>130000.00000000003</x:v>
      </x:c>
      <x:c r="Z10" s="266" t="n">
        <x:f>X10+Y10</x:f>
        <x:v>130000.00000000003</x:v>
      </x:c>
      <x:c r="AA10" s="266" t="n">
        <x:f>Y10*E10</x:f>
        <x:v>91000.00000000001</x:v>
      </x:c>
      <x:c r="AB10" s="266" t="n">
        <x:f>Y10*D10</x:f>
        <x:v>109200.00000000001</x:v>
      </x:c>
      <x:c r="AC10" s="266" t="n">
        <x:f>AA10*D10</x:f>
        <x:v>76440.00000000001</x:v>
      </x:c>
      <x:c r="AD10" s="123" t="str">
        <x:v>2,50 EUR/m2 sobre instalacion verificada</x:v>
      </x:c>
    </x:row>
    <x:row r="11" ht="15" hidden="0" customHeight="1">
      <x:c r="A11" s="123" t="str">
        <x:v>KIWA/RMOOB - proyecto unico</x:v>
      </x:c>
      <x:c r="B11" s="123" t="str">
        <x:v>Certificacion / SaaS</x:v>
      </x:c>
      <x:c r="C11" s="123" t="str">
        <x:v>Contrato + alcance + hitos</x:v>
      </x:c>
      <x:c r="D11" s="309" t="n">
        <x:v>0.55</x:v>
      </x:c>
      <x:c r="E11" s="309" t="n">
        <x:v>0.5</x:v>
      </x:c>
      <x:c r="F11" s="266" t="n">
        <x:v>0</x:v>
      </x:c>
      <x:c r="G11" s="266" t="n">
        <x:v>0</x:v>
      </x:c>
      <x:c r="H11" s="266" t="n">
        <x:v>0</x:v>
      </x:c>
      <x:c r="I11" s="266" t="n">
        <x:v>0</x:v>
      </x:c>
      <x:c r="J11" s="266" t="n">
        <x:v>0</x:v>
      </x:c>
      <x:c r="K11" s="266" t="n">
        <x:v>0</x:v>
      </x:c>
      <x:c r="L11" s="266" t="n">
        <x:v>0</x:v>
      </x:c>
      <x:c r="M11" s="266" t="n">
        <x:v>0</x:v>
      </x:c>
      <x:c r="N11" s="266" t="n">
        <x:v>0</x:v>
      </x:c>
      <x:c r="O11" s="266" t="n">
        <x:v>0</x:v>
      </x:c>
      <x:c r="P11" s="266" t="n">
        <x:v>0</x:v>
      </x:c>
      <x:c r="Q11" s="266" t="n">
        <x:v>0</x:v>
      </x:c>
      <x:c r="R11" s="266" t="n">
        <x:v>0</x:v>
      </x:c>
      <x:c r="S11" s="266" t="n">
        <x:v>0</x:v>
      </x:c>
      <x:c r="T11" s="266" t="n">
        <x:v>0</x:v>
      </x:c>
      <x:c r="U11" s="266" t="n">
        <x:v>133333.33333333334</x:v>
      </x:c>
      <x:c r="V11" s="266" t="n">
        <x:v>133333.33333333334</x:v>
      </x:c>
      <x:c r="W11" s="266" t="n">
        <x:v>133333.33333333334</x:v>
      </x:c>
      <x:c r="X11" s="266" t="n">
        <x:f>SUM(F11:K11)</x:f>
        <x:v>0</x:v>
      </x:c>
      <x:c r="Y11" s="266" t="n">
        <x:f>SUM(L11:W11)</x:f>
        <x:v>400000</x:v>
      </x:c>
      <x:c r="Z11" s="266" t="n">
        <x:f>X11+Y11</x:f>
        <x:v>400000</x:v>
      </x:c>
      <x:c r="AA11" s="266" t="n">
        <x:f>Y11*E11</x:f>
        <x:v>200000</x:v>
      </x:c>
      <x:c r="AB11" s="266" t="n">
        <x:f>Y11*D11</x:f>
        <x:v>220000.00000000003</x:v>
      </x:c>
      <x:c r="AC11" s="266" t="n">
        <x:f>AA11*D11</x:f>
        <x:v>110000.00000000001</x:v>
      </x:c>
      <x:c r="AD11" s="123" t="str">
        <x:v>Un solo proyecto de 400k en Q4 2027</x:v>
      </x:c>
    </x:row>
    <x:row r="12" ht="15" hidden="0" customHeight="1">
      <x:c r="A12" s="123" t="str">
        <x:v>Moolde / Plastic People / Calaf</x:v>
      </x:c>
      <x:c r="B12" s="123" t="str">
        <x:v>Piloto circular</x:v>
      </x:c>
      <x:c r="C12" s="123" t="str">
        <x:v>Cofinanciacion + presupuesto</x:v>
      </x:c>
      <x:c r="D12" s="309" t="n">
        <x:v>0.4</x:v>
      </x:c>
      <x:c r="E12" s="309" t="n">
        <x:v>0.45</x:v>
      </x:c>
      <x:c r="F12" s="266" t="n">
        <x:v>0</x:v>
      </x:c>
      <x:c r="G12" s="266" t="n">
        <x:v>0</x:v>
      </x:c>
      <x:c r="H12" s="266" t="n">
        <x:v>0</x:v>
      </x:c>
      <x:c r="I12" s="266" t="n">
        <x:v>0</x:v>
      </x:c>
      <x:c r="J12" s="266" t="n">
        <x:v>0</x:v>
      </x:c>
      <x:c r="K12" s="266" t="n">
        <x:v>0</x:v>
      </x:c>
      <x:c r="L12" s="266" t="n">
        <x:v>0</x:v>
      </x:c>
      <x:c r="M12" s="266" t="n">
        <x:v>0</x:v>
      </x:c>
      <x:c r="N12" s="266" t="n">
        <x:v>0</x:v>
      </x:c>
      <x:c r="O12" s="266" t="n">
        <x:v>0</x:v>
      </x:c>
      <x:c r="P12" s="266" t="n">
        <x:v>18000</x:v>
      </x:c>
      <x:c r="Q12" s="266" t="n">
        <x:v>18000</x:v>
      </x:c>
      <x:c r="R12" s="266" t="n">
        <x:v>18000</x:v>
      </x:c>
      <x:c r="S12" s="266" t="n">
        <x:v>18000</x:v>
      </x:c>
      <x:c r="T12" s="266" t="n">
        <x:v>18000</x:v>
      </x:c>
      <x:c r="U12" s="266" t="n">
        <x:v>0</x:v>
      </x:c>
      <x:c r="V12" s="266" t="n">
        <x:v>0</x:v>
      </x:c>
      <x:c r="W12" s="266" t="n">
        <x:v>0</x:v>
      </x:c>
      <x:c r="X12" s="266" t="n">
        <x:f>SUM(F12:K12)</x:f>
        <x:v>0</x:v>
      </x:c>
      <x:c r="Y12" s="266" t="n">
        <x:f>SUM(L12:W12)</x:f>
        <x:v>90000</x:v>
      </x:c>
      <x:c r="Z12" s="266" t="n">
        <x:f>X12+Y12</x:f>
        <x:v>90000</x:v>
      </x:c>
      <x:c r="AA12" s="266" t="n">
        <x:f>Y12*E12</x:f>
        <x:v>40500</x:v>
      </x:c>
      <x:c r="AB12" s="266" t="n">
        <x:f>Y12*D12</x:f>
        <x:v>36000</x:v>
      </x:c>
      <x:c r="AC12" s="266" t="n">
        <x:f>AA12*D12</x:f>
        <x:v>16200</x:v>
      </x:c>
      <x:c r="AD12" s="123" t="str">
        <x:v>Evitar piloto gratuito</x:v>
      </x:c>
    </x:row>
    <x:row r="13" ht="15" hidden="0" customHeight="1">
      <x:c r="A13" s="123" t="str">
        <x:v>Marsam / marcas producto</x:v>
      </x:c>
      <x:c r="B13" s="123" t="str">
        <x:v>Prototipos comerciales</x:v>
      </x:c>
      <x:c r="C13" s="123" t="str">
        <x:v>Oferta aceptada</x:v>
      </x:c>
      <x:c r="D13" s="309" t="n">
        <x:v>0.55</x:v>
      </x:c>
      <x:c r="E13" s="309" t="n">
        <x:v>0.45</x:v>
      </x:c>
      <x:c r="F13" s="266" t="n">
        <x:v>0</x:v>
      </x:c>
      <x:c r="G13" s="266" t="n">
        <x:v>0</x:v>
      </x:c>
      <x:c r="H13" s="266" t="n">
        <x:v>0</x:v>
      </x:c>
      <x:c r="I13" s="266" t="n">
        <x:v>0</x:v>
      </x:c>
      <x:c r="J13" s="266" t="n">
        <x:v>0</x:v>
      </x:c>
      <x:c r="K13" s="266" t="n">
        <x:v>0</x:v>
      </x:c>
      <x:c r="L13" s="266" t="n">
        <x:v>0</x:v>
      </x:c>
      <x:c r="M13" s="266" t="n">
        <x:v>0</x:v>
      </x:c>
      <x:c r="N13" s="266" t="n">
        <x:v>0</x:v>
      </x:c>
      <x:c r="O13" s="266" t="n">
        <x:v>0</x:v>
      </x:c>
      <x:c r="P13" s="266" t="n">
        <x:v>0</x:v>
      </x:c>
      <x:c r="Q13" s="266" t="n">
        <x:v>6666.666666666667</x:v>
      </x:c>
      <x:c r="R13" s="266" t="n">
        <x:v>6666.666666666667</x:v>
      </x:c>
      <x:c r="S13" s="266" t="n">
        <x:v>6666.666666666667</x:v>
      </x:c>
      <x:c r="T13" s="266" t="n">
        <x:v>6666.666666666667</x:v>
      </x:c>
      <x:c r="U13" s="266" t="n">
        <x:v>6666.666666666667</x:v>
      </x:c>
      <x:c r="V13" s="266" t="n">
        <x:v>6666.666666666667</x:v>
      </x:c>
      <x:c r="W13" s="266" t="n">
        <x:v>0</x:v>
      </x:c>
      <x:c r="X13" s="266" t="n">
        <x:f>SUM(F13:K13)</x:f>
        <x:v>0</x:v>
      </x:c>
      <x:c r="Y13" s="266" t="n">
        <x:f>SUM(L13:W13)</x:f>
        <x:v>40000</x:v>
      </x:c>
      <x:c r="Z13" s="266" t="n">
        <x:f>X13+Y13</x:f>
        <x:v>40000</x:v>
      </x:c>
      <x:c r="AA13" s="266" t="n">
        <x:f>Y13*E13</x:f>
        <x:v>18000</x:v>
      </x:c>
      <x:c r="AB13" s="266" t="n">
        <x:f>Y13*D13</x:f>
        <x:v>22000</x:v>
      </x:c>
      <x:c r="AC13" s="266" t="n">
        <x:f>AA13*D13</x:f>
        <x:v>9900</x:v>
      </x:c>
      <x:c r="AD13" s="123" t="str">
        <x:v>Paquetizar alcance</x:v>
      </x:c>
    </x:row>
    <x:row r="14" ht="15" hidden="0" customHeight="1">
      <x:c r="A14" s="123" t="str">
        <x:v>SaaS / POI / DPP recurrente</x:v>
      </x:c>
      <x:c r="B14" s="123" t="str">
        <x:v>Recurrente inicial</x:v>
      </x:c>
      <x:c r="C14" s="123" t="str">
        <x:v>Contrato activo + uso</x:v>
      </x:c>
      <x:c r="D14" s="309" t="n">
        <x:v>0.75</x:v>
      </x:c>
      <x:c r="E14" s="309" t="n">
        <x:v>0.6</x:v>
      </x:c>
      <x:c r="F14" s="266" t="n">
        <x:v>0</x:v>
      </x:c>
      <x:c r="G14" s="266" t="n">
        <x:v>0</x:v>
      </x:c>
      <x:c r="H14" s="266" t="n">
        <x:v>0</x:v>
      </x:c>
      <x:c r="I14" s="266" t="n">
        <x:v>0</x:v>
      </x:c>
      <x:c r="J14" s="266" t="n">
        <x:v>0</x:v>
      </x:c>
      <x:c r="K14" s="266" t="n">
        <x:v>0</x:v>
      </x:c>
      <x:c r="L14" s="266" t="n">
        <x:v>0</x:v>
      </x:c>
      <x:c r="M14" s="266" t="n">
        <x:v>0</x:v>
      </x:c>
      <x:c r="N14" s="266" t="n">
        <x:v>0</x:v>
      </x:c>
      <x:c r="O14" s="266" t="n">
        <x:v>0</x:v>
      </x:c>
      <x:c r="P14" s="266" t="n">
        <x:v>0</x:v>
      </x:c>
      <x:c r="Q14" s="266" t="n">
        <x:v>0</x:v>
      </x:c>
      <x:c r="R14" s="266" t="n">
        <x:v>10000</x:v>
      </x:c>
      <x:c r="S14" s="266" t="n">
        <x:v>10000</x:v>
      </x:c>
      <x:c r="T14" s="266" t="n">
        <x:v>10000</x:v>
      </x:c>
      <x:c r="U14" s="266" t="n">
        <x:v>10000</x:v>
      </x:c>
      <x:c r="V14" s="266" t="n">
        <x:v>10000</x:v>
      </x:c>
      <x:c r="W14" s="266" t="n">
        <x:v>10000</x:v>
      </x:c>
      <x:c r="X14" s="266" t="n">
        <x:f>SUM(F14:K14)</x:f>
        <x:v>0</x:v>
      </x:c>
      <x:c r="Y14" s="266" t="n">
        <x:f>SUM(L14:W14)</x:f>
        <x:v>60000</x:v>
      </x:c>
      <x:c r="Z14" s="266" t="n">
        <x:f>X14+Y14</x:f>
        <x:v>60000</x:v>
      </x:c>
      <x:c r="AA14" s="266" t="n">
        <x:f>Y14*E14</x:f>
        <x:v>36000</x:v>
      </x:c>
      <x:c r="AB14" s="266" t="n">
        <x:f>Y14*D14</x:f>
        <x:v>45000</x:v>
      </x:c>
      <x:c r="AC14" s="266" t="n">
        <x:f>AA14*D14</x:f>
        <x:v>27000</x:v>
      </x:c>
      <x:c r="AD14" s="123" t="str">
        <x:v>Ingreso condicionado a activacion</x:v>
      </x:c>
    </x:row>
    <x:row r="15" ht="15" hidden="0" customHeight="1">
      <x:c r="A15" s="271" t="str">
        <x:v>TOTAL</x:v>
      </x:c>
      <x:c r="B15" s="273" t="str"/>
      <x:c r="C15" s="273" t="str"/>
      <x:c r="D15" s="273" t="str"/>
      <x:c r="E15" s="273" t="str"/>
      <x:c r="F15" s="310" t="n">
        <x:f>SUM(F5:F14)</x:f>
        <x:v>0</x:v>
      </x:c>
      <x:c r="G15" s="310" t="n">
        <x:f>SUM(G5:G14)</x:f>
        <x:v>0</x:v>
      </x:c>
      <x:c r="H15" s="310" t="n">
        <x:f>SUM(H5:H14)</x:f>
        <x:v>16000</x:v>
      </x:c>
      <x:c r="I15" s="310" t="n">
        <x:f>SUM(I5:I14)</x:f>
        <x:v>0</x:v>
      </x:c>
      <x:c r="J15" s="310" t="n">
        <x:f>SUM(J5:J14)</x:f>
        <x:v>0</x:v>
      </x:c>
      <x:c r="K15" s="310" t="n">
        <x:f>SUM(K5:K14)</x:f>
        <x:v>0</x:v>
      </x:c>
      <x:c r="L15" s="310" t="n">
        <x:f>SUM(L5:L14)</x:f>
        <x:v>208750</x:v>
      </x:c>
      <x:c r="M15" s="310" t="n">
        <x:f>SUM(M5:M14)</x:f>
        <x:v>232386.36363636365</x:v>
      </x:c>
      <x:c r="N15" s="310" t="n">
        <x:f>SUM(N5:N14)</x:f>
        <x:v>207386.36363636365</x:v>
      </x:c>
      <x:c r="O15" s="310" t="n">
        <x:f>SUM(O5:O14)</x:f>
        <x:v>242386.36363636365</x:v>
      </x:c>
      <x:c r="P15" s="310" t="n">
        <x:f>SUM(P5:P14)</x:f>
        <x:v>41636.36363636363</x:v>
      </x:c>
      <x:c r="Q15" s="310" t="n">
        <x:f>SUM(Q5:Q14)</x:f>
        <x:v>48303.0303030303</x:v>
      </x:c>
      <x:c r="R15" s="310" t="n">
        <x:f>SUM(R5:R14)</x:f>
        <x:v>58303.0303030303</x:v>
      </x:c>
      <x:c r="S15" s="310" t="n">
        <x:f>SUM(S5:S14)</x:f>
        <x:v>58303.0303030303</x:v>
      </x:c>
      <x:c r="T15" s="310" t="n">
        <x:f>SUM(T5:T14)</x:f>
        <x:v>58303.0303030303</x:v>
      </x:c>
      <x:c r="U15" s="310" t="n">
        <x:f>SUM(U5:U14)</x:f>
        <x:v>173636.36363636365</x:v>
      </x:c>
      <x:c r="V15" s="310" t="n">
        <x:f>SUM(V5:V14)</x:f>
        <x:v>173636.36363636365</x:v>
      </x:c>
      <x:c r="W15" s="310" t="n">
        <x:f>SUM(W5:W14)</x:f>
        <x:v>166969.696969697</x:v>
      </x:c>
      <x:c r="X15" s="310" t="n">
        <x:f>SUM(X5:X14)</x:f>
        <x:v>16000</x:v>
      </x:c>
      <x:c r="Y15" s="310" t="n">
        <x:f>SUM(Y5:Y14)</x:f>
        <x:v>1670000</x:v>
      </x:c>
      <x:c r="Z15" s="310" t="n">
        <x:f>SUM(Z5:Z14)</x:f>
        <x:v>1686000</x:v>
      </x:c>
      <x:c r="AA15" s="310" t="n">
        <x:f>SUM(AA5:AA14)</x:f>
        <x:v>1104000</x:v>
      </x:c>
      <x:c r="AB15" s="310" t="n">
        <x:f>SUM(AB5:AB14)</x:f>
        <x:v>844450</x:v>
      </x:c>
      <x:c r="AC15" s="310" t="n">
        <x:f>SUM(AC5:AC14)</x:f>
        <x:v>541490</x:v>
      </x:c>
      <x:c r="AD15" s="274" t="str"/>
    </x:row>
    <x:row r="16" ht="15" hidden="0" customHeight="1">
      <x:c r="A16" s="123"/>
      <x:c r="B16" s="123"/>
      <x:c r="C16" s="123"/>
      <x:c r="D16" s="123"/>
      <x:c r="E16" s="123"/>
      <x:c r="F16" s="123"/>
      <x:c r="G16" s="123"/>
      <x:c r="H16" s="123"/>
      <x:c r="I16" s="123"/>
      <x:c r="J16" s="123"/>
      <x:c r="K16" s="123"/>
      <x:c r="L16" s="123"/>
      <x:c r="M16" s="123"/>
      <x:c r="N16" s="123"/>
      <x:c r="O16" s="123"/>
      <x:c r="P16" s="123"/>
      <x:c r="Q16" s="123"/>
      <x:c r="R16" s="123"/>
      <x:c r="S16" s="123"/>
      <x:c r="T16" s="123"/>
      <x:c r="U16" s="123"/>
      <x:c r="V16" s="123"/>
      <x:c r="W16" s="123"/>
      <x:c r="X16" s="123"/>
      <x:c r="Y16" s="123"/>
      <x:c r="Z16" s="123"/>
      <x:c r="AA16" s="123"/>
      <x:c r="AB16" s="123"/>
      <x:c r="AC16" s="123"/>
      <x:c r="AD16" s="123"/>
    </x:row>
    <x:row r="17" ht="15" hidden="0" customHeight="1">
      <x:c r="A17" s="123"/>
      <x:c r="B17" s="123"/>
      <x:c r="C17" s="123"/>
      <x:c r="D17" s="123"/>
      <x:c r="E17" s="123"/>
      <x:c r="F17" s="123"/>
      <x:c r="G17" s="123"/>
      <x:c r="H17" s="123"/>
      <x:c r="I17" s="123"/>
      <x:c r="J17" s="123"/>
      <x:c r="K17" s="123"/>
      <x:c r="L17" s="123"/>
      <x:c r="M17" s="123"/>
      <x:c r="N17" s="123"/>
      <x:c r="O17" s="123"/>
      <x:c r="P17" s="123"/>
      <x:c r="Q17" s="123"/>
      <x:c r="R17" s="123"/>
      <x:c r="S17" s="123"/>
      <x:c r="T17" s="123"/>
      <x:c r="U17" s="123"/>
      <x:c r="V17" s="123"/>
      <x:c r="W17" s="123"/>
      <x:c r="X17" s="123"/>
      <x:c r="Y17" s="123"/>
      <x:c r="Z17" s="123"/>
      <x:c r="AA17" s="123"/>
      <x:c r="AB17" s="123"/>
      <x:c r="AC17" s="123"/>
      <x:c r="AD17" s="123"/>
    </x:row>
    <x:row r="18" ht="15" hidden="0" customHeight="1">
      <x:c r="A18" s="124" t="str">
        <x:v>Resumen plan 300K</x:v>
      </x:c>
      <x:c r="B18" s="124" t="str">
        <x:v>2026 Base</x:v>
      </x:c>
      <x:c r="C18" s="124" t="str">
        <x:v>2027 Base</x:v>
      </x:c>
      <x:c r="D18" s="124" t="str">
        <x:v>Total Base</x:v>
      </x:c>
      <x:c r="E18" s="124" t="str">
        <x:v>2026 Risk</x:v>
      </x:c>
      <x:c r="F18" s="124" t="str">
        <x:v>2027 Risk</x:v>
      </x:c>
      <x:c r="G18" s="124" t="str">
        <x:v>Total Risk</x:v>
      </x:c>
      <x:c r="H18" s="124" t="str">
        <x:v>Lectura</x:v>
      </x:c>
      <x:c r="I18" s="123"/>
      <x:c r="J18" s="123"/>
      <x:c r="K18" s="123"/>
      <x:c r="L18" s="123"/>
      <x:c r="M18" s="123"/>
      <x:c r="N18" s="123"/>
      <x:c r="O18" s="123"/>
      <x:c r="P18" s="123"/>
      <x:c r="Q18" s="123"/>
      <x:c r="R18" s="123"/>
      <x:c r="S18" s="123"/>
      <x:c r="T18" s="123"/>
      <x:c r="U18" s="123"/>
      <x:c r="V18" s="123"/>
      <x:c r="W18" s="123"/>
      <x:c r="X18" s="123"/>
      <x:c r="Y18" s="123"/>
      <x:c r="Z18" s="123"/>
      <x:c r="AA18" s="123"/>
      <x:c r="AB18" s="123"/>
      <x:c r="AC18" s="123"/>
      <x:c r="AD18" s="123"/>
    </x:row>
    <x:row r="19" ht="15" hidden="0" customHeight="1">
      <x:c r="A19" s="123" t="str">
        <x:v>Revenue</x:v>
      </x:c>
      <x:c r="B19" s="266" t="n">
        <x:f>SUM(X5:X14)</x:f>
        <x:v>16000</x:v>
      </x:c>
      <x:c r="C19" s="266" t="n">
        <x:f>SUM(Y5:Y14)</x:f>
        <x:v>1670000</x:v>
      </x:c>
      <x:c r="D19" s="266" t="n">
        <x:f>SUM(Z5:Z14)</x:f>
        <x:v>1686000</x:v>
      </x:c>
      <x:c r="E19" s="266" t="n">
        <x:f>SUMPRODUCT(X5:X14,E5:E14)</x:f>
        <x:v>16000</x:v>
      </x:c>
      <x:c r="F19" s="266" t="n">
        <x:f>SUM(AA5:AA14)</x:f>
        <x:v>1104000</x:v>
      </x:c>
      <x:c r="G19" s="266" t="n">
        <x:f>E19+F19</x:f>
        <x:v>1120000</x:v>
      </x:c>
      <x:c r="H19" s="123" t="str">
        <x:v>Management case vs pipeline ponderado</x:v>
      </x:c>
      <x:c r="I19" s="123"/>
      <x:c r="J19" s="123"/>
      <x:c r="K19" s="123"/>
      <x:c r="L19" s="123"/>
      <x:c r="M19" s="123"/>
      <x:c r="N19" s="123"/>
      <x:c r="O19" s="123"/>
      <x:c r="P19" s="123"/>
      <x:c r="Q19" s="123"/>
      <x:c r="R19" s="123"/>
      <x:c r="S19" s="123"/>
      <x:c r="T19" s="123"/>
      <x:c r="U19" s="123"/>
      <x:c r="V19" s="123"/>
      <x:c r="W19" s="123"/>
      <x:c r="X19" s="123"/>
      <x:c r="Y19" s="123"/>
      <x:c r="Z19" s="123"/>
      <x:c r="AA19" s="123"/>
      <x:c r="AB19" s="123"/>
      <x:c r="AC19" s="123"/>
      <x:c r="AD19" s="123"/>
    </x:row>
    <x:row r="20" ht="15" hidden="0" customHeight="1">
      <x:c r="A20" s="123" t="str">
        <x:v>Contribucion</x:v>
      </x:c>
      <x:c r="B20" s="266" t="n">
        <x:f>SUMPRODUCT(X5:X14,D5:D14)</x:f>
        <x:v>4800</x:v>
      </x:c>
      <x:c r="C20" s="266" t="n">
        <x:f>SUM(AB5:AB14)</x:f>
        <x:v>844450</x:v>
      </x:c>
      <x:c r="D20" s="266" t="n">
        <x:f>B20+C20</x:f>
        <x:v>849250</x:v>
      </x:c>
      <x:c r="E20" s="266" t="n">
        <x:f>SUMPRODUCT(X5:X14,D5:D14,E5:E14)</x:f>
        <x:v>4800</x:v>
      </x:c>
      <x:c r="F20" s="266" t="n">
        <x:f>SUM(AC5:AC14)</x:f>
        <x:v>541490</x:v>
      </x:c>
      <x:c r="G20" s="266" t="n">
        <x:f>E20+F20</x:f>
        <x:v>546290</x:v>
      </x:c>
      <x:c r="H20" s="123" t="str">
        <x:v>Margen especifico por linea</x:v>
      </x:c>
      <x:c r="I20" s="123"/>
      <x:c r="J20" s="123"/>
      <x:c r="K20" s="123"/>
      <x:c r="L20" s="123"/>
      <x:c r="M20" s="123"/>
      <x:c r="N20" s="123"/>
      <x:c r="O20" s="123"/>
      <x:c r="P20" s="123"/>
      <x:c r="Q20" s="123"/>
      <x:c r="R20" s="123"/>
      <x:c r="S20" s="123"/>
      <x:c r="T20" s="123"/>
      <x:c r="U20" s="123"/>
      <x:c r="V20" s="123"/>
      <x:c r="W20" s="123"/>
      <x:c r="X20" s="123"/>
      <x:c r="Y20" s="123"/>
      <x:c r="Z20" s="123"/>
      <x:c r="AA20" s="123"/>
      <x:c r="AB20" s="123"/>
      <x:c r="AC20" s="123"/>
      <x:c r="AD20" s="123"/>
    </x:row>
    <x:row r="21" ht="15" hidden="0" customHeight="1">
      <x:c r="A21" s="123" t="str">
        <x:v>OPEX operativo</x:v>
      </x:c>
      <x:c r="B21" s="266" t="n">
        <x:v>-213600</x:v>
      </x:c>
      <x:c r="C21" s="266" t="n">
        <x:v>-530451</x:v>
      </x:c>
      <x:c r="D21" s="266" t="n">
        <x:f>SUM(B21:C21)</x:f>
        <x:v>-744051</x:v>
      </x:c>
      <x:c r="E21" s="266" t="n">
        <x:v>-213600</x:v>
      </x:c>
      <x:c r="F21" s="266" t="n">
        <x:v>-530451</x:v>
      </x:c>
      <x:c r="G21" s="266" t="n">
        <x:f>SUM(E21:F21)</x:f>
        <x:v>-744051</x:v>
      </x:c>
      <x:c r="H21" s="123" t="str">
        <x:v>Coste fijo protegido por gates de contratacion</x:v>
      </x:c>
      <x:c r="I21" s="123"/>
      <x:c r="J21" s="123"/>
      <x:c r="K21" s="123"/>
      <x:c r="L21" s="123"/>
      <x:c r="M21" s="123"/>
      <x:c r="N21" s="123"/>
      <x:c r="O21" s="123"/>
      <x:c r="P21" s="123"/>
      <x:c r="Q21" s="123"/>
      <x:c r="R21" s="123"/>
      <x:c r="S21" s="123"/>
      <x:c r="T21" s="123"/>
      <x:c r="U21" s="123"/>
      <x:c r="V21" s="123"/>
      <x:c r="W21" s="123"/>
      <x:c r="X21" s="123"/>
      <x:c r="Y21" s="123"/>
      <x:c r="Z21" s="123"/>
      <x:c r="AA21" s="123"/>
      <x:c r="AB21" s="123"/>
      <x:c r="AC21" s="123"/>
      <x:c r="AD21" s="123"/>
    </x:row>
    <x:row r="22" ht="15" hidden="0" customHeight="1">
      <x:c r="A22" s="123" t="str">
        <x:v>EBITDA</x:v>
      </x:c>
      <x:c r="B22" s="266" t="n">
        <x:f>B20+B21</x:f>
        <x:v>-208800</x:v>
      </x:c>
      <x:c r="C22" s="266" t="n">
        <x:f>C20+C21</x:f>
        <x:v>313999</x:v>
      </x:c>
      <x:c r="D22" s="266" t="n">
        <x:f>SUM(B22:C22)</x:f>
        <x:v>105199</x:v>
      </x:c>
      <x:c r="E22" s="266" t="n">
        <x:f>E20+E21</x:f>
        <x:v>-208800</x:v>
      </x:c>
      <x:c r="F22" s="266" t="n">
        <x:f>F20+F21</x:f>
        <x:v>11039</x:v>
      </x:c>
      <x:c r="G22" s="266" t="n">
        <x:f>SUM(E22:F22)</x:f>
        <x:v>-197761</x:v>
      </x:c>
      <x:c r="H22" s="123" t="str">
        <x:v>Contribucion menos OPEX</x:v>
      </x:c>
      <x:c r="I22" s="123"/>
      <x:c r="J22" s="123"/>
      <x:c r="K22" s="123"/>
      <x:c r="L22" s="123"/>
      <x:c r="M22" s="123"/>
      <x:c r="N22" s="123"/>
      <x:c r="O22" s="123"/>
      <x:c r="P22" s="123"/>
      <x:c r="Q22" s="123"/>
      <x:c r="R22" s="123"/>
      <x:c r="S22" s="123"/>
      <x:c r="T22" s="123"/>
      <x:c r="U22" s="123"/>
      <x:c r="V22" s="123"/>
      <x:c r="W22" s="123"/>
      <x:c r="X22" s="123"/>
      <x:c r="Y22" s="123"/>
      <x:c r="Z22" s="123"/>
      <x:c r="AA22" s="123"/>
      <x:c r="AB22" s="123"/>
      <x:c r="AC22" s="123"/>
      <x:c r="AD22" s="123"/>
    </x:row>
    <x:row r="23" ht="15" hidden="0" customHeight="1">
      <x:c r="A23" s="123" t="str">
        <x:v>Margen EBITDA</x:v>
      </x:c>
      <x:c r="B23" s="309" t="n">
        <x:f>IF(B19=0,0,B22/B19)</x:f>
        <x:v>-13.05</x:v>
      </x:c>
      <x:c r="C23" s="309" t="n">
        <x:f>IF(C19=0,0,C22/C19)</x:f>
        <x:v>0.1880233532934132</x:v>
      </x:c>
      <x:c r="D23" s="309" t="n">
        <x:f>IF(D19=0,0,D22/D19)</x:f>
        <x:v>0.06239561091340451</x:v>
      </x:c>
      <x:c r="E23" s="309" t="n">
        <x:f>IF(E19=0,0,E22/E19)</x:f>
        <x:v>-13.05</x:v>
      </x:c>
      <x:c r="F23" s="309" t="n">
        <x:f>IF(F19=0,0,F22/F19)</x:f>
        <x:v>0.00999909420289855</x:v>
      </x:c>
      <x:c r="G23" s="309" t="n">
        <x:f>IF(G19=0,0,G22/G19)</x:f>
        <x:v>-0.17657232142857143</x:v>
      </x:c>
      <x:c r="H23" s="123" t="str"/>
      <x:c r="I23" s="123"/>
      <x:c r="J23" s="123"/>
      <x:c r="K23" s="123"/>
      <x:c r="L23" s="123"/>
      <x:c r="M23" s="123"/>
      <x:c r="N23" s="123"/>
      <x:c r="O23" s="123"/>
      <x:c r="P23" s="123"/>
      <x:c r="Q23" s="123"/>
      <x:c r="R23" s="123"/>
      <x:c r="S23" s="123"/>
      <x:c r="T23" s="123"/>
      <x:c r="U23" s="123"/>
      <x:c r="V23" s="123"/>
      <x:c r="W23" s="123"/>
      <x:c r="X23" s="123"/>
      <x:c r="Y23" s="123"/>
      <x:c r="Z23" s="123"/>
      <x:c r="AA23" s="123"/>
      <x:c r="AB23" s="123"/>
      <x:c r="AC23" s="123"/>
      <x:c r="AD23" s="123"/>
    </x:row>
    <x:row r="24" ht="15" hidden="0" customHeight="1">
      <x:c r="A24" s="123" t="str">
        <x:v>Funding 300K</x:v>
      </x:c>
      <x:c r="B24" s="266" t="n">
        <x:v>300000</x:v>
      </x:c>
      <x:c r="C24" s="266" t="n">
        <x:v>0</x:v>
      </x:c>
      <x:c r="D24" s="266" t="n">
        <x:f>SUM(B24:C24)</x:f>
        <x:v>300000</x:v>
      </x:c>
      <x:c r="E24" s="266" t="n">
        <x:v>300000</x:v>
      </x:c>
      <x:c r="F24" s="266" t="n">
        <x:v>0</x:v>
      </x:c>
      <x:c r="G24" s="266" t="n">
        <x:f>SUM(E24:F24)</x:f>
        <x:v>300000</x:v>
      </x:c>
      <x:c r="H24" s="123" t="str">
        <x:v>Capital minimo</x:v>
      </x:c>
      <x:c r="I24" s="123"/>
      <x:c r="J24" s="123"/>
      <x:c r="K24" s="123"/>
      <x:c r="L24" s="123"/>
      <x:c r="M24" s="123"/>
      <x:c r="N24" s="123"/>
      <x:c r="O24" s="123"/>
      <x:c r="P24" s="123"/>
      <x:c r="Q24" s="123"/>
      <x:c r="R24" s="123"/>
      <x:c r="S24" s="123"/>
      <x:c r="T24" s="123"/>
      <x:c r="U24" s="123"/>
      <x:c r="V24" s="123"/>
      <x:c r="W24" s="123"/>
      <x:c r="X24" s="123"/>
      <x:c r="Y24" s="123"/>
      <x:c r="Z24" s="123"/>
      <x:c r="AA24" s="123"/>
      <x:c r="AB24" s="123"/>
      <x:c r="AC24" s="123"/>
      <x:c r="AD24" s="123"/>
    </x:row>
    <x:row r="25" ht="15" hidden="0" customHeight="1">
      <x:c r="A25" s="123" t="str">
        <x:v>Capex / WC / buffer</x:v>
      </x:c>
      <x:c r="B25" s="266" t="n">
        <x:v>-77600</x:v>
      </x:c>
      <x:c r="C25" s="266" t="n">
        <x:v>0</x:v>
      </x:c>
      <x:c r="D25" s="266" t="n">
        <x:f>SUM(B25:C25)</x:f>
        <x:v>-77600</x:v>
      </x:c>
      <x:c r="E25" s="266" t="n">
        <x:v>-77600</x:v>
      </x:c>
      <x:c r="F25" s="266" t="n">
        <x:v>0</x:v>
      </x:c>
      <x:c r="G25" s="266" t="n">
        <x:f>SUM(E25:F25)</x:f>
        <x:v>-77600</x:v>
      </x:c>
      <x:c r="H25" s="123" t="str">
        <x:v>Reserva del plan minimo</x:v>
      </x:c>
      <x:c r="I25" s="123"/>
      <x:c r="J25" s="123"/>
      <x:c r="K25" s="123"/>
      <x:c r="L25" s="123"/>
      <x:c r="M25" s="123"/>
      <x:c r="N25" s="123"/>
      <x:c r="O25" s="123"/>
      <x:c r="P25" s="123"/>
      <x:c r="Q25" s="123"/>
      <x:c r="R25" s="123"/>
      <x:c r="S25" s="123"/>
      <x:c r="T25" s="123"/>
      <x:c r="U25" s="123"/>
      <x:c r="V25" s="123"/>
      <x:c r="W25" s="123"/>
      <x:c r="X25" s="123"/>
      <x:c r="Y25" s="123"/>
      <x:c r="Z25" s="123"/>
      <x:c r="AA25" s="123"/>
      <x:c r="AB25" s="123"/>
      <x:c r="AC25" s="123"/>
      <x:c r="AD25" s="123"/>
    </x:row>
    <x:row r="26" ht="15" hidden="0" customHeight="1">
      <x:c r="A26" s="271" t="str">
        <x:v>Caja final</x:v>
      </x:c>
      <x:c r="B26" s="310" t="n">
        <x:f>B24+B22+B25</x:f>
        <x:v>13600</x:v>
      </x:c>
      <x:c r="C26" s="310" t="n">
        <x:f>B26+C24+C22+C25</x:f>
        <x:v>327599</x:v>
      </x:c>
      <x:c r="D26" s="310" t="n">
        <x:f>C26</x:f>
        <x:v>327599</x:v>
      </x:c>
      <x:c r="E26" s="310" t="n">
        <x:f>E24+E22+E25</x:f>
        <x:v>13600</x:v>
      </x:c>
      <x:c r="F26" s="310" t="n">
        <x:f>E26+F24+F22+F25</x:f>
        <x:v>24639</x:v>
      </x:c>
      <x:c r="G26" s="310" t="n">
        <x:f>F26</x:f>
        <x:v>24639</x:v>
      </x:c>
      <x:c r="H26" s="274" t="str">
        <x:v>Funding + EBITDA - buffer</x:v>
      </x:c>
      <x:c r="I26" s="123"/>
      <x:c r="J26" s="123"/>
      <x:c r="K26" s="123"/>
      <x:c r="L26" s="123"/>
      <x:c r="M26" s="123"/>
      <x:c r="N26" s="123"/>
      <x:c r="O26" s="123"/>
      <x:c r="P26" s="123"/>
      <x:c r="Q26" s="123"/>
      <x:c r="R26" s="123"/>
      <x:c r="S26" s="123"/>
      <x:c r="T26" s="123"/>
      <x:c r="U26" s="123"/>
      <x:c r="V26" s="123"/>
      <x:c r="W26" s="123"/>
      <x:c r="X26" s="123"/>
      <x:c r="Y26" s="123"/>
      <x:c r="Z26" s="123"/>
      <x:c r="AA26" s="123"/>
      <x:c r="AB26" s="123"/>
      <x:c r="AC26" s="123"/>
      <x:c r="AD26" s="123"/>
    </x:row>
    <x:row r="27" ht="15" hidden="0" customHeight="1">
      <x:c r="A27" s="123"/>
      <x:c r="B27" s="123"/>
      <x:c r="C27" s="123"/>
      <x:c r="D27" s="123"/>
      <x:c r="E27" s="123"/>
      <x:c r="F27" s="123"/>
      <x:c r="G27" s="123"/>
      <x:c r="H27" s="123"/>
      <x:c r="I27" s="123"/>
      <x:c r="J27" s="123"/>
      <x:c r="K27" s="123"/>
      <x:c r="L27" s="123"/>
      <x:c r="M27" s="123"/>
      <x:c r="N27" s="123"/>
      <x:c r="O27" s="123"/>
      <x:c r="P27" s="123"/>
      <x:c r="Q27" s="123"/>
      <x:c r="R27" s="123"/>
      <x:c r="S27" s="123"/>
      <x:c r="T27" s="123"/>
      <x:c r="U27" s="123"/>
      <x:c r="V27" s="123"/>
      <x:c r="W27" s="123"/>
      <x:c r="X27" s="123"/>
      <x:c r="Y27" s="123"/>
      <x:c r="Z27" s="123"/>
      <x:c r="AA27" s="123"/>
      <x:c r="AB27" s="123"/>
      <x:c r="AC27" s="123"/>
      <x:c r="AD27" s="123"/>
    </x:row>
    <x:row r="28" ht="15" hidden="0" customHeight="1">
      <x:c r="A28" s="123"/>
      <x:c r="B28" s="123"/>
      <x:c r="C28" s="123"/>
      <x:c r="D28" s="123"/>
      <x:c r="E28" s="123"/>
      <x:c r="F28" s="123"/>
      <x:c r="G28" s="123"/>
      <x:c r="H28" s="123"/>
      <x:c r="I28" s="123"/>
      <x:c r="J28" s="123"/>
      <x:c r="K28" s="123"/>
      <x:c r="L28" s="123"/>
      <x:c r="M28" s="123"/>
      <x:c r="N28" s="123"/>
      <x:c r="O28" s="123"/>
      <x:c r="P28" s="123"/>
      <x:c r="Q28" s="123"/>
      <x:c r="R28" s="123"/>
      <x:c r="S28" s="123"/>
      <x:c r="T28" s="123"/>
      <x:c r="U28" s="123"/>
      <x:c r="V28" s="123"/>
      <x:c r="W28" s="123"/>
      <x:c r="X28" s="123"/>
      <x:c r="Y28" s="123"/>
      <x:c r="Z28" s="123"/>
      <x:c r="AA28" s="123"/>
      <x:c r="AB28" s="123"/>
      <x:c r="AC28" s="123"/>
      <x:c r="AD28" s="123"/>
    </x:row>
    <x:row r="29" ht="15" hidden="0" customHeight="1">
      <x:c r="A29" s="123"/>
      <x:c r="B29" s="123"/>
      <x:c r="C29" s="123"/>
      <x:c r="D29" s="123"/>
      <x:c r="E29" s="123"/>
      <x:c r="F29" s="123"/>
      <x:c r="G29" s="123"/>
      <x:c r="H29" s="123"/>
      <x:c r="I29" s="123"/>
      <x:c r="J29" s="123"/>
      <x:c r="K29" s="123"/>
      <x:c r="L29" s="123"/>
      <x:c r="M29" s="123"/>
      <x:c r="N29" s="123"/>
      <x:c r="O29" s="123"/>
      <x:c r="P29" s="123"/>
      <x:c r="Q29" s="123"/>
      <x:c r="R29" s="123"/>
      <x:c r="S29" s="123"/>
      <x:c r="T29" s="123"/>
      <x:c r="U29" s="123"/>
      <x:c r="V29" s="123"/>
      <x:c r="W29" s="123"/>
      <x:c r="X29" s="123"/>
      <x:c r="Y29" s="123"/>
      <x:c r="Z29" s="123"/>
      <x:c r="AA29" s="123"/>
      <x:c r="AB29" s="123"/>
      <x:c r="AC29" s="123"/>
      <x:c r="AD29" s="123"/>
    </x:row>
    <x:row r="30" ht="15" hidden="0" customHeight="1">
      <x:c r="A30" s="123"/>
      <x:c r="B30" s="123"/>
      <x:c r="C30" s="123"/>
      <x:c r="D30" s="123"/>
      <x:c r="E30" s="123"/>
      <x:c r="F30" s="123"/>
      <x:c r="G30" s="123"/>
      <x:c r="H30" s="123"/>
      <x:c r="I30" s="123"/>
      <x:c r="J30" s="123"/>
      <x:c r="K30" s="123"/>
      <x:c r="L30" s="123"/>
      <x:c r="M30" s="123"/>
      <x:c r="N30" s="123"/>
      <x:c r="O30" s="123"/>
      <x:c r="P30" s="123"/>
      <x:c r="Q30" s="123"/>
      <x:c r="R30" s="123"/>
      <x:c r="S30" s="123"/>
      <x:c r="T30" s="123"/>
      <x:c r="U30" s="123"/>
      <x:c r="V30" s="123"/>
      <x:c r="W30" s="123"/>
      <x:c r="X30" s="123"/>
      <x:c r="Y30" s="123"/>
      <x:c r="Z30" s="123"/>
      <x:c r="AA30" s="123"/>
      <x:c r="AB30" s="123"/>
      <x:c r="AC30" s="123"/>
      <x:c r="AD30" s="123"/>
    </x:row>
    <x:row r="31" ht="15" hidden="0" customHeight="1">
      <x:c r="A31" s="123"/>
      <x:c r="B31" s="123"/>
      <x:c r="C31" s="123"/>
      <x:c r="D31" s="123"/>
      <x:c r="E31" s="123"/>
      <x:c r="F31" s="123"/>
      <x:c r="G31" s="123"/>
      <x:c r="H31" s="123"/>
      <x:c r="I31" s="123"/>
      <x:c r="J31" s="123"/>
      <x:c r="K31" s="123"/>
      <x:c r="L31" s="123"/>
      <x:c r="M31" s="123"/>
      <x:c r="N31" s="123"/>
      <x:c r="O31" s="123"/>
      <x:c r="P31" s="123"/>
      <x:c r="Q31" s="123"/>
      <x:c r="R31" s="123"/>
      <x:c r="S31" s="123"/>
      <x:c r="T31" s="123"/>
      <x:c r="U31" s="123"/>
      <x:c r="V31" s="123"/>
      <x:c r="W31" s="123"/>
      <x:c r="X31" s="123"/>
      <x:c r="Y31" s="123"/>
      <x:c r="Z31" s="123"/>
      <x:c r="AA31" s="123"/>
      <x:c r="AB31" s="123"/>
      <x:c r="AC31" s="123"/>
      <x:c r="AD31" s="123"/>
    </x:row>
    <x:row r="32" ht="15" hidden="0" customHeight="1">
      <x:c r="A32" s="123"/>
      <x:c r="B32" s="123"/>
      <x:c r="C32" s="123"/>
      <x:c r="D32" s="123"/>
      <x:c r="E32" s="123"/>
      <x:c r="F32" s="123"/>
      <x:c r="G32" s="123"/>
      <x:c r="H32" s="123"/>
      <x:c r="I32" s="123"/>
      <x:c r="J32" s="123"/>
      <x:c r="K32" s="123"/>
      <x:c r="L32" s="123"/>
      <x:c r="M32" s="123"/>
      <x:c r="N32" s="123"/>
      <x:c r="O32" s="123"/>
      <x:c r="P32" s="123"/>
      <x:c r="Q32" s="123"/>
      <x:c r="R32" s="123"/>
      <x:c r="S32" s="123"/>
      <x:c r="T32" s="123"/>
      <x:c r="U32" s="123"/>
      <x:c r="V32" s="123"/>
      <x:c r="W32" s="123"/>
      <x:c r="X32" s="123"/>
      <x:c r="Y32" s="123"/>
      <x:c r="Z32" s="123"/>
      <x:c r="AA32" s="123"/>
      <x:c r="AB32" s="123"/>
      <x:c r="AC32" s="123"/>
      <x:c r="AD32" s="123"/>
    </x:row>
    <x:row r="33" ht="15" hidden="0" customHeight="1">
      <x:c r="A33" s="123"/>
      <x:c r="B33" s="123"/>
      <x:c r="C33" s="123"/>
      <x:c r="D33" s="123"/>
      <x:c r="E33" s="123"/>
      <x:c r="F33" s="123"/>
      <x:c r="G33" s="123"/>
      <x:c r="H33" s="123"/>
      <x:c r="I33" s="123"/>
      <x:c r="J33" s="123"/>
      <x:c r="K33" s="123"/>
      <x:c r="L33" s="123"/>
      <x:c r="M33" s="123"/>
      <x:c r="N33" s="123"/>
      <x:c r="O33" s="123"/>
      <x:c r="P33" s="123"/>
      <x:c r="Q33" s="123"/>
      <x:c r="R33" s="123"/>
      <x:c r="S33" s="123"/>
      <x:c r="T33" s="123"/>
      <x:c r="U33" s="123"/>
      <x:c r="V33" s="123"/>
      <x:c r="W33" s="123"/>
      <x:c r="X33" s="123"/>
      <x:c r="Y33" s="123"/>
      <x:c r="Z33" s="123"/>
      <x:c r="AA33" s="123"/>
      <x:c r="AB33" s="123"/>
      <x:c r="AC33" s="123"/>
      <x:c r="AD33" s="123"/>
    </x:row>
    <x:row r="34" ht="15" hidden="0" customHeight="1">
      <x:c r="A34" s="123"/>
      <x:c r="B34" s="123"/>
      <x:c r="C34" s="123"/>
      <x:c r="D34" s="123"/>
      <x:c r="E34" s="123"/>
      <x:c r="F34" s="123"/>
      <x:c r="G34" s="123"/>
      <x:c r="H34" s="123"/>
      <x:c r="I34" s="123"/>
      <x:c r="J34" s="123"/>
      <x:c r="K34" s="123"/>
      <x:c r="L34" s="123"/>
      <x:c r="M34" s="123"/>
      <x:c r="N34" s="123"/>
      <x:c r="O34" s="123"/>
      <x:c r="P34" s="123"/>
      <x:c r="Q34" s="123"/>
      <x:c r="R34" s="123"/>
      <x:c r="S34" s="123"/>
      <x:c r="T34" s="123"/>
      <x:c r="U34" s="123"/>
      <x:c r="V34" s="123"/>
      <x:c r="W34" s="123"/>
      <x:c r="X34" s="123"/>
      <x:c r="Y34" s="123"/>
      <x:c r="Z34" s="123"/>
      <x:c r="AA34" s="123"/>
      <x:c r="AB34" s="123"/>
      <x:c r="AC34" s="123"/>
      <x:c r="AD34" s="123"/>
    </x:row>
    <x:row r="35" ht="15" hidden="0" customHeight="1">
      <x:c r="A35" s="123"/>
      <x:c r="B35" s="123"/>
      <x:c r="C35" s="123"/>
      <x:c r="D35" s="123"/>
      <x:c r="E35" s="123"/>
      <x:c r="F35" s="123"/>
      <x:c r="G35" s="123"/>
      <x:c r="H35" s="123"/>
      <x:c r="I35" s="123"/>
      <x:c r="J35" s="123"/>
      <x:c r="K35" s="123"/>
      <x:c r="L35" s="123"/>
      <x:c r="M35" s="123"/>
      <x:c r="N35" s="123"/>
      <x:c r="O35" s="123"/>
      <x:c r="P35" s="123"/>
      <x:c r="Q35" s="123"/>
      <x:c r="R35" s="123"/>
      <x:c r="S35" s="123"/>
      <x:c r="T35" s="123"/>
      <x:c r="U35" s="123"/>
      <x:c r="V35" s="123"/>
      <x:c r="W35" s="123"/>
      <x:c r="X35" s="123"/>
      <x:c r="Y35" s="123"/>
      <x:c r="Z35" s="123"/>
      <x:c r="AA35" s="123"/>
      <x:c r="AB35" s="123"/>
      <x:c r="AC35" s="123"/>
      <x:c r="AD35" s="123"/>
    </x:row>
    <x:row r="36" ht="15" hidden="0" customHeight="1">
      <x:c r="A36" s="123"/>
      <x:c r="B36" s="123"/>
      <x:c r="C36" s="123"/>
      <x:c r="D36" s="123"/>
      <x:c r="E36" s="123"/>
      <x:c r="F36" s="123"/>
      <x:c r="G36" s="123"/>
      <x:c r="H36" s="123"/>
      <x:c r="I36" s="123"/>
      <x:c r="J36" s="123"/>
      <x:c r="K36" s="123"/>
      <x:c r="L36" s="123"/>
      <x:c r="M36" s="123"/>
      <x:c r="N36" s="123"/>
      <x:c r="O36" s="123"/>
      <x:c r="P36" s="123"/>
      <x:c r="Q36" s="123"/>
      <x:c r="R36" s="123"/>
      <x:c r="S36" s="123"/>
      <x:c r="T36" s="123"/>
      <x:c r="U36" s="123"/>
      <x:c r="V36" s="123"/>
      <x:c r="W36" s="123"/>
      <x:c r="X36" s="123"/>
      <x:c r="Y36" s="123"/>
      <x:c r="Z36" s="123"/>
      <x:c r="AA36" s="123"/>
      <x:c r="AB36" s="123"/>
      <x:c r="AC36" s="123"/>
      <x:c r="AD36" s="123"/>
    </x:row>
    <x:row r="37" ht="15" hidden="0" customHeight="1">
      <x:c r="A37" s="123"/>
      <x:c r="B37" s="123"/>
      <x:c r="C37" s="123"/>
      <x:c r="D37" s="123"/>
      <x:c r="E37" s="123"/>
      <x:c r="F37" s="123"/>
      <x:c r="G37" s="123"/>
      <x:c r="H37" s="123"/>
      <x:c r="I37" s="123"/>
      <x:c r="J37" s="123"/>
      <x:c r="K37" s="123"/>
      <x:c r="L37" s="123"/>
      <x:c r="M37" s="123"/>
      <x:c r="N37" s="123"/>
      <x:c r="O37" s="123"/>
      <x:c r="P37" s="123"/>
      <x:c r="Q37" s="123"/>
      <x:c r="R37" s="123"/>
      <x:c r="S37" s="123"/>
      <x:c r="T37" s="123"/>
      <x:c r="U37" s="123"/>
      <x:c r="V37" s="123"/>
      <x:c r="W37" s="123"/>
      <x:c r="X37" s="123"/>
      <x:c r="Y37" s="123"/>
      <x:c r="Z37" s="123"/>
      <x:c r="AA37" s="123"/>
      <x:c r="AB37" s="123"/>
      <x:c r="AC37" s="123"/>
      <x:c r="AD37" s="123"/>
    </x:row>
    <x:row r="38" ht="15" hidden="0" customHeight="1">
      <x:c r="A38" s="123"/>
      <x:c r="B38" s="123"/>
      <x:c r="C38" s="123"/>
      <x:c r="D38" s="123"/>
      <x:c r="E38" s="123"/>
      <x:c r="F38" s="123"/>
      <x:c r="G38" s="123"/>
      <x:c r="H38" s="123"/>
      <x:c r="I38" s="123"/>
      <x:c r="J38" s="123"/>
      <x:c r="K38" s="123"/>
      <x:c r="L38" s="123"/>
      <x:c r="M38" s="123"/>
      <x:c r="N38" s="123"/>
      <x:c r="O38" s="123"/>
      <x:c r="P38" s="123"/>
      <x:c r="Q38" s="123"/>
      <x:c r="R38" s="123"/>
      <x:c r="S38" s="123"/>
      <x:c r="T38" s="123"/>
      <x:c r="U38" s="123"/>
      <x:c r="V38" s="123"/>
      <x:c r="W38" s="123"/>
      <x:c r="X38" s="123"/>
      <x:c r="Y38" s="123"/>
      <x:c r="Z38" s="123"/>
      <x:c r="AA38" s="123"/>
      <x:c r="AB38" s="123"/>
      <x:c r="AC38" s="123"/>
      <x:c r="AD38" s="123"/>
    </x:row>
    <x:row r="39" ht="15" hidden="0" customHeight="1">
      <x:c r="A39" s="123"/>
      <x:c r="B39" s="123"/>
      <x:c r="C39" s="123"/>
      <x:c r="D39" s="123"/>
      <x:c r="E39" s="123"/>
      <x:c r="F39" s="123"/>
      <x:c r="G39" s="123"/>
      <x:c r="H39" s="123"/>
      <x:c r="I39" s="123"/>
      <x:c r="J39" s="123"/>
      <x:c r="K39" s="123"/>
      <x:c r="L39" s="123"/>
      <x:c r="M39" s="123"/>
      <x:c r="N39" s="123"/>
      <x:c r="O39" s="123"/>
      <x:c r="P39" s="123"/>
      <x:c r="Q39" s="123"/>
      <x:c r="R39" s="123"/>
      <x:c r="S39" s="123"/>
      <x:c r="T39" s="123"/>
      <x:c r="U39" s="123"/>
      <x:c r="V39" s="123"/>
      <x:c r="W39" s="123"/>
      <x:c r="X39" s="123"/>
      <x:c r="Y39" s="123"/>
      <x:c r="Z39" s="123"/>
      <x:c r="AA39" s="123"/>
      <x:c r="AB39" s="123"/>
      <x:c r="AC39" s="123"/>
      <x:c r="AD39" s="123"/>
    </x:row>
    <x:row r="40" ht="15" hidden="0" customHeight="1">
      <x:c r="A40" s="123"/>
      <x:c r="B40" s="123"/>
      <x:c r="C40" s="123"/>
      <x:c r="D40" s="123"/>
      <x:c r="E40" s="123"/>
      <x:c r="F40" s="123"/>
      <x:c r="G40" s="123"/>
      <x:c r="H40" s="123"/>
      <x:c r="I40" s="123"/>
      <x:c r="J40" s="123"/>
      <x:c r="K40" s="123"/>
      <x:c r="L40" s="123"/>
      <x:c r="M40" s="123"/>
      <x:c r="N40" s="123"/>
      <x:c r="O40" s="123"/>
      <x:c r="P40" s="123"/>
      <x:c r="Q40" s="123"/>
      <x:c r="R40" s="123"/>
      <x:c r="S40" s="123"/>
      <x:c r="T40" s="123"/>
      <x:c r="U40" s="123"/>
      <x:c r="V40" s="123"/>
      <x:c r="W40" s="123"/>
      <x:c r="X40" s="123"/>
      <x:c r="Y40" s="123"/>
      <x:c r="Z40" s="123"/>
      <x:c r="AA40" s="123"/>
      <x:c r="AB40" s="123"/>
      <x:c r="AC40" s="123"/>
      <x:c r="AD40" s="123"/>
    </x:row>
    <x:row r="41" ht="15" hidden="0" customHeight="1">
      <x:c r="A41" s="123"/>
      <x:c r="B41" s="123"/>
      <x:c r="C41" s="123"/>
      <x:c r="D41" s="123"/>
      <x:c r="E41" s="123"/>
      <x:c r="F41" s="123"/>
      <x:c r="G41" s="123"/>
      <x:c r="H41" s="123"/>
      <x:c r="I41" s="123"/>
      <x:c r="J41" s="123"/>
      <x:c r="K41" s="123"/>
      <x:c r="L41" s="123"/>
      <x:c r="M41" s="123"/>
      <x:c r="N41" s="123"/>
      <x:c r="O41" s="123"/>
      <x:c r="P41" s="123"/>
      <x:c r="Q41" s="123"/>
      <x:c r="R41" s="123"/>
      <x:c r="S41" s="123"/>
      <x:c r="T41" s="123"/>
      <x:c r="U41" s="123"/>
      <x:c r="V41" s="123"/>
      <x:c r="W41" s="123"/>
      <x:c r="X41" s="123"/>
      <x:c r="Y41" s="123"/>
      <x:c r="Z41" s="123"/>
      <x:c r="AA41" s="123"/>
      <x:c r="AB41" s="123"/>
      <x:c r="AC41" s="123"/>
      <x:c r="AD41" s="123"/>
    </x:row>
    <x:row r="42" ht="15" hidden="0" customHeight="1">
      <x:c r="A42" s="123"/>
      <x:c r="B42" s="123"/>
      <x:c r="C42" s="123"/>
      <x:c r="D42" s="123"/>
      <x:c r="E42" s="123"/>
      <x:c r="F42" s="123"/>
      <x:c r="G42" s="123"/>
      <x:c r="H42" s="123"/>
      <x:c r="I42" s="123"/>
      <x:c r="J42" s="123"/>
      <x:c r="K42" s="123"/>
      <x:c r="L42" s="123"/>
      <x:c r="M42" s="123"/>
      <x:c r="N42" s="123"/>
      <x:c r="O42" s="123"/>
      <x:c r="P42" s="123"/>
      <x:c r="Q42" s="123"/>
      <x:c r="R42" s="123"/>
      <x:c r="S42" s="123"/>
      <x:c r="T42" s="123"/>
      <x:c r="U42" s="123"/>
      <x:c r="V42" s="123"/>
      <x:c r="W42" s="123"/>
      <x:c r="X42" s="123"/>
      <x:c r="Y42" s="123"/>
      <x:c r="Z42" s="123"/>
      <x:c r="AA42" s="123"/>
      <x:c r="AB42" s="123"/>
      <x:c r="AC42" s="123"/>
      <x:c r="AD42" s="123"/>
    </x:row>
  </x:sheetData>
  <x:mergeCells>
    <x:mergeCell ref="A1:H1"/>
    <x:mergeCell ref="A2:H2"/>
    <x:mergeCell ref="A1:A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1.630001068115234" hidden="0" customWidth="1"/>
    <x:col min="2" max="2" width="27.25" hidden="0" customWidth="1"/>
    <x:col min="3" max="3" width="13.25" hidden="0" customWidth="1"/>
    <x:col min="4" max="4" width="45.630001068115234" hidden="0" customWidth="1"/>
    <x:col min="5" max="5" width="13.380000114440918" hidden="0" customWidth="1"/>
    <x:col min="6" max="6" width="13" hidden="0" customWidth="1"/>
    <x:col min="7" max="7" width="15" hidden="0" customWidth="1"/>
  </x:cols>
  <x:sheetData>
    <x:row r="1" ht="15" hidden="0" customHeight="1">
      <x:c r="A1" s="121" t="str">
        <x:v>02B Partner Economics</x:v>
      </x:c>
      <x:c r="B1" s="121"/>
      <x:c r="C1" s="121"/>
      <x:c r="D1" s="121"/>
      <x:c r="E1" s="121"/>
      <x:c r="F1" s="121"/>
      <x:c r="G1" s="121"/>
      <x:c r="H1" s="2"/>
    </x:row>
    <x:row r="2" ht="15" hidden="0" customHeight="1">
      <x:c r="A2" s="122" t="str">
        <x:v>Arquitectura comercial: digitalizacion inicial + fees de uso sobre ejecucion verificable.</x:v>
      </x:c>
      <x:c r="B2" s="122"/>
      <x:c r="C2" s="122"/>
      <x:c r="D2" s="122"/>
      <x:c r="E2" s="122"/>
      <x:c r="F2" s="122"/>
      <x:c r="G2" s="122"/>
      <x:c r="H2" s="4"/>
    </x:row>
    <x:row r="3" ht="15" hidden="0" customHeight="1">
      <x:c r="A3" s="123"/>
      <x:c r="B3" s="123"/>
      <x:c r="C3" s="123"/>
      <x:c r="D3" s="123"/>
      <x:c r="E3" s="123"/>
      <x:c r="F3" s="123"/>
      <x:c r="G3" s="123"/>
    </x:row>
    <x:row r="4" ht="15" hidden="0" customHeight="1">
      <x:c r="A4" s="124" t="str">
        <x:v>Fabricante</x:v>
      </x:c>
      <x:c r="B4" s="124" t="str">
        <x:v>Rango de instalaciones a digitalizar</x:v>
      </x:c>
      <x:c r="C4" s="124" t="str">
        <x:v>Tarifa EUR</x:v>
      </x:c>
      <x:c r="D4" s="124" t="str">
        <x:v>Regla comercial</x:v>
      </x:c>
      <x:c r="E4" s="124" t="str">
        <x:v>Desde m2</x:v>
      </x:c>
      <x:c r="F4" s="124" t="str">
        <x:v>Hasta m2</x:v>
      </x:c>
      <x:c r="G4" s="123"/>
    </x:row>
    <x:row r="5" ht="15" hidden="0" customHeight="1">
      <x:c r="A5" s="123" t="str">
        <x:v>Factory Small</x:v>
      </x:c>
      <x:c r="B5" s="123" t="str">
        <x:v>Hasta 5.000 m2</x:v>
      </x:c>
      <x:c r="C5" s="265" t="n">
        <x:v>50000</x:v>
      </x:c>
      <x:c r="D5" s="123" t="str">
        <x:v>Paquete cerrado</x:v>
      </x:c>
      <x:c r="E5" s="266" t="n">
        <x:v>0</x:v>
      </x:c>
      <x:c r="F5" s="266" t="n">
        <x:v>5000</x:v>
      </x:c>
      <x:c r="G5" s="123"/>
    </x:row>
    <x:row r="6" ht="15" hidden="0" customHeight="1">
      <x:c r="A6" s="123" t="str">
        <x:v>Factory Growth</x:v>
      </x:c>
      <x:c r="B6" s="123" t="str">
        <x:v>&gt;5.000 y &lt;20.000 m2</x:v>
      </x:c>
      <x:c r="C6" s="267" t="n">
        <x:v>120000</x:v>
      </x:c>
      <x:c r="D6" s="123" t="str">
        <x:v>Paquete cerrado</x:v>
      </x:c>
      <x:c r="E6" s="266" t="n">
        <x:v>5001</x:v>
      </x:c>
      <x:c r="F6" s="266" t="n">
        <x:v>19999</x:v>
      </x:c>
      <x:c r="G6" s="123"/>
    </x:row>
    <x:row r="7" ht="15" hidden="0" customHeight="1">
      <x:c r="A7" s="123" t="str">
        <x:v>Factory Scale</x:v>
      </x:c>
      <x:c r="B7" s="123" t="str">
        <x:v>20.000 y &lt;50.000 m2</x:v>
      </x:c>
      <x:c r="C7" s="267" t="n">
        <x:v>250000</x:v>
      </x:c>
      <x:c r="D7" s="123" t="str">
        <x:v>Paquete cerrado</x:v>
      </x:c>
      <x:c r="E7" s="266" t="n">
        <x:v>20000</x:v>
      </x:c>
      <x:c r="F7" s="266" t="n">
        <x:v>49999</x:v>
      </x:c>
      <x:c r="G7" s="123"/>
    </x:row>
    <x:row r="8" ht="15" hidden="0" customHeight="1">
      <x:c r="A8" s="123" t="str">
        <x:v>Factory Enterprise</x:v>
      </x:c>
      <x:c r="B8" s="123" t="str">
        <x:v>Desde 50.000 m2</x:v>
      </x:c>
      <x:c r="C8" s="268" t="n">
        <x:v>400000</x:v>
      </x:c>
      <x:c r="D8" s="123" t="str">
        <x:v>Desde 400k; alcance por consultoria</x:v>
      </x:c>
      <x:c r="E8" s="266" t="n">
        <x:v>50000</x:v>
      </x:c>
      <x:c r="F8" s="266"/>
      <x:c r="G8" s="123"/>
    </x:row>
    <x:row r="9" ht="15" hidden="0" customHeight="1">
      <x:c r="A9" s="123"/>
      <x:c r="B9" s="123"/>
      <x:c r="C9" s="266"/>
      <x:c r="D9" s="123"/>
      <x:c r="E9" s="266"/>
      <x:c r="F9" s="266"/>
      <x:c r="G9" s="123"/>
    </x:row>
    <x:row r="10" ht="15" hidden="0" customHeight="1">
      <x:c r="A10" s="123"/>
      <x:c r="B10" s="123"/>
      <x:c r="C10" s="266"/>
      <x:c r="D10" s="123"/>
      <x:c r="E10" s="266"/>
      <x:c r="F10" s="266"/>
      <x:c r="G10" s="123"/>
    </x:row>
    <x:row r="11" ht="15" hidden="0" customHeight="1">
      <x:c r="A11" s="124" t="str">
        <x:v>Equipo de montaje</x:v>
      </x:c>
      <x:c r="B11" s="124" t="str">
        <x:v>Capacidad incluida</x:v>
      </x:c>
      <x:c r="C11" s="269" t="str">
        <x:v>Tarifa EUR</x:v>
      </x:c>
      <x:c r="D11" s="124" t="str">
        <x:v>Regla comercial</x:v>
      </x:c>
      <x:c r="E11" s="269" t="str">
        <x:v>Desde cuadrillas</x:v>
      </x:c>
      <x:c r="F11" s="269" t="str">
        <x:v>Hasta cuadrillas</x:v>
      </x:c>
      <x:c r="G11" s="123"/>
    </x:row>
    <x:row r="12" ht="15" hidden="0" customHeight="1">
      <x:c r="A12" s="123" t="str">
        <x:v>Crew Starter</x:v>
      </x:c>
      <x:c r="B12" s="123" t="str">
        <x:v>Hasta 2 cuadrillas de 4 operarios</x:v>
      </x:c>
      <x:c r="C12" s="265" t="n">
        <x:v>35000</x:v>
      </x:c>
      <x:c r="D12" s="123" t="str">
        <x:v>Paquete cerrado</x:v>
      </x:c>
      <x:c r="E12" s="266" t="n">
        <x:v>1</x:v>
      </x:c>
      <x:c r="F12" s="266" t="n">
        <x:v>2</x:v>
      </x:c>
      <x:c r="G12" s="123"/>
    </x:row>
    <x:row r="13" ht="15" hidden="0" customHeight="1">
      <x:c r="A13" s="123" t="str">
        <x:v>Crew Scale</x:v>
      </x:c>
      <x:c r="B13" s="123" t="str">
        <x:v>3 a 6 cuadrillas</x:v>
      </x:c>
      <x:c r="C13" s="267" t="n">
        <x:v>75000</x:v>
      </x:c>
      <x:c r="D13" s="123" t="str">
        <x:v>Paquete cerrado</x:v>
      </x:c>
      <x:c r="E13" s="266" t="n">
        <x:v>3</x:v>
      </x:c>
      <x:c r="F13" s="266" t="n">
        <x:v>6</x:v>
      </x:c>
      <x:c r="G13" s="123"/>
    </x:row>
    <x:row r="14" ht="15" hidden="0" customHeight="1">
      <x:c r="A14" s="123" t="str">
        <x:v>Crew Enterprise</x:v>
      </x:c>
      <x:c r="B14" s="123" t="str">
        <x:v>Mas de 6 cuadrillas</x:v>
      </x:c>
      <x:c r="C14" s="268" t="n">
        <x:v>12000</x:v>
      </x:c>
      <x:c r="D14" s="123" t="str">
        <x:v>12k por cuadrilla; minimo 75k</x:v>
      </x:c>
      <x:c r="E14" s="266" t="n">
        <x:v>7</x:v>
      </x:c>
      <x:c r="F14" s="266"/>
      <x:c r="G14" s="123"/>
    </x:row>
    <x:row r="15" ht="15" hidden="0" customHeight="1">
      <x:c r="A15" s="123"/>
      <x:c r="B15" s="123"/>
      <x:c r="C15" s="123"/>
      <x:c r="D15" s="123"/>
      <x:c r="E15" s="123"/>
      <x:c r="F15" s="123"/>
      <x:c r="G15" s="123"/>
    </x:row>
    <x:row r="16" ht="15" hidden="0" customHeight="1">
      <x:c r="A16" s="123"/>
      <x:c r="B16" s="123"/>
      <x:c r="C16" s="123"/>
      <x:c r="D16" s="123"/>
      <x:c r="E16" s="123"/>
      <x:c r="F16" s="123"/>
      <x:c r="G16" s="123"/>
    </x:row>
    <x:row r="17" ht="15" hidden="0" customHeight="1">
      <x:c r="A17" s="124" t="str">
        <x:v>Inputs plan 300K</x:v>
      </x:c>
      <x:c r="B17" s="124" t="str">
        <x:v>Valor</x:v>
      </x:c>
      <x:c r="C17" s="124" t="str">
        <x:v>Precio calculado</x:v>
      </x:c>
      <x:c r="D17" s="124" t="str">
        <x:v>Criterio / pendiente</x:v>
      </x:c>
      <x:c r="E17" s="123"/>
      <x:c r="F17" s="123"/>
      <x:c r="G17" s="123"/>
    </x:row>
    <x:row r="18" ht="15" hidden="0" customHeight="1">
      <x:c r="A18" s="123" t="str">
        <x:v>m2 instalaciones partner fabricante piloto</x:v>
      </x:c>
      <x:c r="B18" s="265" t="n">
        <x:v>35000</x:v>
      </x:c>
      <x:c r="C18" s="266" t="n">
        <x:f>IF(B18&lt;=$F$5,$C$5,IF(B18&lt;$E$7,$C$6,IF(B18&lt;$E$8,$C$7,$C$8)))</x:f>
        <x:v>250000</x:v>
      </x:c>
      <x:c r="D18" s="123" t="str">
        <x:v>Clasificacion provisional; validar superficie real de planta</x:v>
      </x:c>
      <x:c r="E18" s="123"/>
      <x:c r="F18" s="123"/>
      <x:c r="G18" s="123"/>
    </x:row>
    <x:row r="19" ht="15" hidden="0" customHeight="1">
      <x:c r="A19" s="123" t="str">
        <x:v>Numero de cuadrillas equipo piloto</x:v>
      </x:c>
      <x:c r="B19" s="267" t="n">
        <x:v>2</x:v>
      </x:c>
      <x:c r="C19" s="266" t="n">
        <x:f>IF(B19&lt;=$F$12,$C$12,IF(B19&lt;=$F$13,$C$13,MAX($C$13,B19*$C$14)))</x:f>
        <x:v>35000</x:v>
      </x:c>
      <x:c r="D19" s="123" t="str">
        <x:v>Una cuadrilla = 4 operarios</x:v>
      </x:c>
      <x:c r="E19" s="123"/>
      <x:c r="F19" s="123"/>
      <x:c r="G19" s="123"/>
    </x:row>
    <x:row r="20" ht="15" hidden="0" customHeight="1">
      <x:c r="A20" s="123" t="str">
        <x:v>m2 ejecutados elegibles 2027</x:v>
      </x:c>
      <x:c r="B20" s="268" t="n">
        <x:v>52000</x:v>
      </x:c>
      <x:c r="C20" s="266" t="str"/>
      <x:c r="D20" s="123" t="str">
        <x:v>17k OADAC + 35k primer partner industrial</x:v>
      </x:c>
      <x:c r="E20" s="123"/>
      <x:c r="F20" s="123"/>
      <x:c r="G20" s="123"/>
    </x:row>
    <x:row r="21" ht="15" hidden="0" customHeight="1">
      <x:c r="A21" s="123" t="str">
        <x:v>Fee de Red Fabricante EUR/m2</x:v>
      </x:c>
      <x:c r="B21" s="270" t="n">
        <x:f>'01_Assumptions'!C12</x:f>
        <x:v>2.5</x:v>
      </x:c>
      <x:c r="C21" s="123" t="str"/>
      <x:c r="D21" s="123" t="str">
        <x:v>Se devenga con m2 fabricado verificado</x:v>
      </x:c>
      <x:c r="E21" s="123"/>
      <x:c r="F21" s="123"/>
      <x:c r="G21" s="123"/>
    </x:row>
    <x:row r="22" ht="15" hidden="0" customHeight="1">
      <x:c r="A22" s="123" t="str">
        <x:v>Fee de Red Montaje EUR/m2</x:v>
      </x:c>
      <x:c r="B22" s="270" t="n">
        <x:f>'01_Assumptions'!C49</x:f>
        <x:v>2.5</x:v>
      </x:c>
      <x:c r="C22" s="123" t="str"/>
      <x:c r="D22" s="123" t="str">
        <x:v>Se devenga con m2 instalado verificado</x:v>
      </x:c>
      <x:c r="E22" s="123"/>
      <x:c r="F22" s="123"/>
      <x:c r="G22" s="123"/>
    </x:row>
    <x:row r="23" ht="15" hidden="0" customHeight="1">
      <x:c r="A23" s="271" t="str">
        <x:v>Fee combinado efectivo EUR/m2</x:v>
      </x:c>
      <x:c r="B23" s="272" t="n">
        <x:f>B21+B22</x:f>
        <x:v>5</x:v>
      </x:c>
      <x:c r="C23" s="273" t="str"/>
      <x:c r="D23" s="274" t="str">
        <x:v>No es royalty; son dos servicios de red con triggers distintos</x:v>
      </x:c>
      <x:c r="E23" s="123"/>
      <x:c r="F23" s="123"/>
      <x:c r="G23" s="123"/>
    </x:row>
    <x:row r="24" ht="15" hidden="0" customHeight="1">
      <x:c r="A24" s="123"/>
      <x:c r="B24" s="123"/>
      <x:c r="C24" s="123"/>
      <x:c r="D24" s="123"/>
      <x:c r="E24" s="123"/>
      <x:c r="F24" s="123"/>
      <x:c r="G24" s="123"/>
    </x:row>
    <x:row r="25" ht="15" hidden="0" customHeight="1">
      <x:c r="A25" s="123"/>
      <x:c r="B25" s="123"/>
      <x:c r="C25" s="123"/>
      <x:c r="D25" s="123"/>
      <x:c r="E25" s="123"/>
      <x:c r="F25" s="123"/>
      <x:c r="G25" s="123"/>
    </x:row>
    <x:row r="26" ht="15" hidden="0" customHeight="1">
      <x:c r="A26" s="124" t="str">
        <x:v>Captacion y unit economics</x:v>
      </x:c>
      <x:c r="B26" s="124" t="n">
        <x:v>2026</x:v>
      </x:c>
      <x:c r="C26" s="124" t="n">
        <x:v>2027</x:v>
      </x:c>
      <x:c r="D26" s="124" t="n">
        <x:v>2028</x:v>
      </x:c>
      <x:c r="E26" s="124" t="n">
        <x:v>2029</x:v>
      </x:c>
      <x:c r="F26" s="124" t="n">
        <x:v>2030</x:v>
      </x:c>
      <x:c r="G26" s="123"/>
    </x:row>
    <x:row r="27" ht="15" hidden="0" customHeight="1">
      <x:c r="A27" s="123" t="str">
        <x:v>Nuevos fabricantes - Small</x:v>
      </x:c>
      <x:c r="B27" s="275" t="n">
        <x:v>1</x:v>
      </x:c>
      <x:c r="C27" s="276" t="n">
        <x:v>1</x:v>
      </x:c>
      <x:c r="D27" s="276" t="n">
        <x:v>0</x:v>
      </x:c>
      <x:c r="E27" s="276" t="n">
        <x:v>1</x:v>
      </x:c>
      <x:c r="F27" s="277" t="n">
        <x:v>0</x:v>
      </x:c>
      <x:c r="G27" s="123"/>
    </x:row>
    <x:row r="28" ht="15" hidden="0" customHeight="1">
      <x:c r="A28" s="123" t="str">
        <x:v>Nuevos fabricantes - Growth</x:v>
      </x:c>
      <x:c r="B28" s="278" t="n">
        <x:v>0</x:v>
      </x:c>
      <x:c r="C28" s="279" t="n">
        <x:v>1</x:v>
      </x:c>
      <x:c r="D28" s="279" t="n">
        <x:v>1</x:v>
      </x:c>
      <x:c r="E28" s="279" t="n">
        <x:v>0</x:v>
      </x:c>
      <x:c r="F28" s="280" t="n">
        <x:v>0</x:v>
      </x:c>
      <x:c r="G28" s="123"/>
    </x:row>
    <x:row r="29" ht="15" hidden="0" customHeight="1">
      <x:c r="A29" s="123" t="str">
        <x:v>Nuevos fabricantes - Scale</x:v>
      </x:c>
      <x:c r="B29" s="278" t="n">
        <x:v>0</x:v>
      </x:c>
      <x:c r="C29" s="279" t="n">
        <x:v>0</x:v>
      </x:c>
      <x:c r="D29" s="279" t="n">
        <x:v>1</x:v>
      </x:c>
      <x:c r="E29" s="279" t="n">
        <x:v>1</x:v>
      </x:c>
      <x:c r="F29" s="280" t="n">
        <x:v>2</x:v>
      </x:c>
      <x:c r="G29" s="123"/>
    </x:row>
    <x:row r="30" ht="15" hidden="0" customHeight="1">
      <x:c r="A30" s="123" t="str">
        <x:v>Nuevos fabricantes - Enterprise</x:v>
      </x:c>
      <x:c r="B30" s="281" t="n">
        <x:v>0</x:v>
      </x:c>
      <x:c r="C30" s="282" t="n">
        <x:v>0</x:v>
      </x:c>
      <x:c r="D30" s="282" t="n">
        <x:v>0</x:v>
      </x:c>
      <x:c r="E30" s="282" t="n">
        <x:v>1</x:v>
      </x:c>
      <x:c r="F30" s="283" t="n">
        <x:v>1</x:v>
      </x:c>
      <x:c r="G30" s="123"/>
    </x:row>
    <x:row r="31" ht="15" hidden="0" customHeight="1">
      <x:c r="A31" s="125" t="str">
        <x:v>Nuevos fabricantes total</x:v>
      </x:c>
      <x:c r="B31" s="284" t="n">
        <x:f>SUM(B27:B30)</x:f>
        <x:v>1</x:v>
      </x:c>
      <x:c r="C31" s="284" t="n">
        <x:f>SUM(C27:C30)</x:f>
        <x:v>2</x:v>
      </x:c>
      <x:c r="D31" s="284" t="n">
        <x:f>SUM(D27:D30)</x:f>
        <x:v>2</x:v>
      </x:c>
      <x:c r="E31" s="284" t="n">
        <x:f>SUM(E27:E30)</x:f>
        <x:v>3</x:v>
      </x:c>
      <x:c r="F31" s="285" t="n">
        <x:f>SUM(F27:F30)</x:f>
        <x:v>3</x:v>
      </x:c>
      <x:c r="G31" s="123"/>
    </x:row>
    <x:row r="32" ht="15" hidden="0" customHeight="1">
      <x:c r="A32" s="129" t="str">
        <x:v>Fabricantes activos</x:v>
      </x:c>
      <x:c r="B32" s="286" t="n">
        <x:f>B31</x:f>
        <x:v>1</x:v>
      </x:c>
      <x:c r="C32" s="286" t="n">
        <x:f>B32+C31</x:f>
        <x:v>3</x:v>
      </x:c>
      <x:c r="D32" s="286" t="n">
        <x:f>C32+D31</x:f>
        <x:v>5</x:v>
      </x:c>
      <x:c r="E32" s="286" t="n">
        <x:f>D32+E31</x:f>
        <x:v>8</x:v>
      </x:c>
      <x:c r="F32" s="287" t="n">
        <x:f>E32+F31</x:f>
        <x:v>11</x:v>
      </x:c>
      <x:c r="G32" s="123"/>
    </x:row>
    <x:row r="33" ht="15" hidden="0" customHeight="1">
      <x:c r="A33" s="133" t="str">
        <x:v>Revenue digitalizacion fabricante EUR M</x:v>
      </x:c>
      <x:c r="B33" s="288" t="n">
        <x:f>(B27*$C$5+B28*$C$6+B29*$C$7+B30*$C$8)/1000000</x:f>
        <x:v>0.05</x:v>
      </x:c>
      <x:c r="C33" s="288" t="n">
        <x:f>(C27*$C$5+C28*$C$6+C29*$C$7+C30*$C$8)/1000000</x:f>
        <x:v>0.17</x:v>
      </x:c>
      <x:c r="D33" s="288" t="n">
        <x:f>(D27*$C$5+D28*$C$6+D29*$C$7+D30*$C$8)/1000000</x:f>
        <x:v>0.37</x:v>
      </x:c>
      <x:c r="E33" s="288" t="n">
        <x:f>(E27*$C$5+E28*$C$6+E29*$C$7+E30*$C$8)/1000000</x:f>
        <x:v>0.7</x:v>
      </x:c>
      <x:c r="F33" s="289" t="n">
        <x:f>(F27*$C$5+F28*$C$6+F29*$C$7+F30*$C$8)/1000000</x:f>
        <x:v>0.9</x:v>
      </x:c>
      <x:c r="G33" s="123"/>
    </x:row>
    <x:row r="34" ht="15" hidden="0" customHeight="1">
      <x:c r="A34" s="123" t="str">
        <x:v>Nuevos montadores - Starter</x:v>
      </x:c>
      <x:c r="B34" s="275" t="n">
        <x:v>1</x:v>
      </x:c>
      <x:c r="C34" s="276" t="n">
        <x:v>0</x:v>
      </x:c>
      <x:c r="D34" s="276" t="n">
        <x:v>2</x:v>
      </x:c>
      <x:c r="E34" s="276" t="n">
        <x:v>1</x:v>
      </x:c>
      <x:c r="F34" s="277" t="n">
        <x:v>1</x:v>
      </x:c>
      <x:c r="G34" s="123"/>
    </x:row>
    <x:row r="35" ht="15" hidden="0" customHeight="1">
      <x:c r="A35" s="123" t="str">
        <x:v>Nuevos montadores - Scale</x:v>
      </x:c>
      <x:c r="B35" s="278" t="n">
        <x:v>0</x:v>
      </x:c>
      <x:c r="C35" s="279" t="n">
        <x:v>1</x:v>
      </x:c>
      <x:c r="D35" s="279" t="n">
        <x:v>1</x:v>
      </x:c>
      <x:c r="E35" s="279" t="n">
        <x:v>1</x:v>
      </x:c>
      <x:c r="F35" s="280" t="n">
        <x:v>1</x:v>
      </x:c>
      <x:c r="G35" s="123"/>
    </x:row>
    <x:row r="36" ht="15" hidden="0" customHeight="1">
      <x:c r="A36" s="123" t="str">
        <x:v>Nuevos montadores - Enterprise</x:v>
      </x:c>
      <x:c r="B36" s="278" t="n">
        <x:v>0</x:v>
      </x:c>
      <x:c r="C36" s="279" t="n">
        <x:v>0</x:v>
      </x:c>
      <x:c r="D36" s="279" t="n">
        <x:v>1</x:v>
      </x:c>
      <x:c r="E36" s="279" t="n">
        <x:v>1</x:v>
      </x:c>
      <x:c r="F36" s="280" t="n">
        <x:v>1</x:v>
      </x:c>
      <x:c r="G36" s="123"/>
    </x:row>
    <x:row r="37" ht="15" hidden="0" customHeight="1">
      <x:c r="A37" s="123" t="str">
        <x:v>Cuadrillas medias Enterprise</x:v>
      </x:c>
      <x:c r="B37" s="281" t="n">
        <x:v>6</x:v>
      </x:c>
      <x:c r="C37" s="282" t="n">
        <x:v>6</x:v>
      </x:c>
      <x:c r="D37" s="282" t="n">
        <x:v>8</x:v>
      </x:c>
      <x:c r="E37" s="282" t="n">
        <x:v>10</x:v>
      </x:c>
      <x:c r="F37" s="283" t="n">
        <x:v>12</x:v>
      </x:c>
      <x:c r="G37" s="123"/>
    </x:row>
    <x:row r="38" ht="15" hidden="0" customHeight="1">
      <x:c r="A38" s="125" t="str">
        <x:v>Nuevos montadores total</x:v>
      </x:c>
      <x:c r="B38" s="284" t="n">
        <x:f>SUM(B34:B36)</x:f>
        <x:v>1</x:v>
      </x:c>
      <x:c r="C38" s="284" t="n">
        <x:f>SUM(C34:C36)</x:f>
        <x:v>1</x:v>
      </x:c>
      <x:c r="D38" s="284" t="n">
        <x:f>SUM(D34:D36)</x:f>
        <x:v>4</x:v>
      </x:c>
      <x:c r="E38" s="284" t="n">
        <x:f>SUM(E34:E36)</x:f>
        <x:v>3</x:v>
      </x:c>
      <x:c r="F38" s="285" t="n">
        <x:f>SUM(F34:F36)</x:f>
        <x:v>3</x:v>
      </x:c>
      <x:c r="G38" s="123"/>
    </x:row>
    <x:row r="39" ht="15" hidden="0" customHeight="1">
      <x:c r="A39" s="129" t="str">
        <x:v>Montadores activos</x:v>
      </x:c>
      <x:c r="B39" s="286" t="n">
        <x:f>B38</x:f>
        <x:v>1</x:v>
      </x:c>
      <x:c r="C39" s="286" t="n">
        <x:f>B39+C38</x:f>
        <x:v>2</x:v>
      </x:c>
      <x:c r="D39" s="286" t="n">
        <x:f>C39+D38</x:f>
        <x:v>6</x:v>
      </x:c>
      <x:c r="E39" s="286" t="n">
        <x:f>D39+E38</x:f>
        <x:v>9</x:v>
      </x:c>
      <x:c r="F39" s="287" t="n">
        <x:f>E39+F38</x:f>
        <x:v>12</x:v>
      </x:c>
      <x:c r="G39" s="123"/>
    </x:row>
    <x:row r="40" ht="15" hidden="0" customHeight="1">
      <x:c r="A40" s="129" t="str">
        <x:v>Revenue digitalizacion montaje EUR M</x:v>
      </x:c>
      <x:c r="B40" s="286" t="n">
        <x:f>(B34*$C$12+B35*$C$13+B36*MAX($C$13,B37*$C$14))/1000000</x:f>
        <x:v>0.035</x:v>
      </x:c>
      <x:c r="C40" s="286" t="n">
        <x:f>(C34*$C$12+C35*$C$13+C36*MAX($C$13,C37*$C$14))/1000000</x:f>
        <x:v>0.075</x:v>
      </x:c>
      <x:c r="D40" s="286" t="n">
        <x:f>(D34*$C$12+D35*$C$13+D36*MAX($C$13,D37*$C$14))/1000000</x:f>
        <x:v>0.241</x:v>
      </x:c>
      <x:c r="E40" s="286" t="n">
        <x:f>(E34*$C$12+E35*$C$13+E36*MAX($C$13,E37*$C$14))/1000000</x:f>
        <x:v>0.23</x:v>
      </x:c>
      <x:c r="F40" s="287" t="n">
        <x:f>(F34*$C$12+F35*$C$13+F36*MAX($C$13,F37*$C$14))/1000000</x:f>
        <x:v>0.254</x:v>
      </x:c>
      <x:c r="G40" s="123"/>
    </x:row>
    <x:row r="41" ht="15" hidden="0" customHeight="1">
      <x:c r="A41" s="129" t="str">
        <x:v>Nuevos partners total</x:v>
      </x:c>
      <x:c r="B41" s="286" t="n">
        <x:f>B31+B38</x:f>
        <x:v>2</x:v>
      </x:c>
      <x:c r="C41" s="286" t="n">
        <x:f>C31+C38</x:f>
        <x:v>3</x:v>
      </x:c>
      <x:c r="D41" s="286" t="n">
        <x:f>D31+D38</x:f>
        <x:v>6</x:v>
      </x:c>
      <x:c r="E41" s="286" t="n">
        <x:f>E31+E38</x:f>
        <x:v>6</x:v>
      </x:c>
      <x:c r="F41" s="287" t="n">
        <x:f>F31+F38</x:f>
        <x:v>6</x:v>
      </x:c>
      <x:c r="G41" s="123"/>
    </x:row>
    <x:row r="42" ht="15" hidden="0" customHeight="1">
      <x:c r="A42" s="129" t="str">
        <x:v>Partners activos total</x:v>
      </x:c>
      <x:c r="B42" s="286" t="n">
        <x:f>B32+B39</x:f>
        <x:v>2</x:v>
      </x:c>
      <x:c r="C42" s="286" t="n">
        <x:f>C32+C39</x:f>
        <x:v>5</x:v>
      </x:c>
      <x:c r="D42" s="286" t="n">
        <x:f>D32+D39</x:f>
        <x:v>11</x:v>
      </x:c>
      <x:c r="E42" s="286" t="n">
        <x:f>E32+E39</x:f>
        <x:v>17</x:v>
      </x:c>
      <x:c r="F42" s="287" t="n">
        <x:f>F32+F39</x:f>
        <x:v>23</x:v>
      </x:c>
      <x:c r="G42" s="123"/>
    </x:row>
    <x:row r="43" ht="15" hidden="0" customHeight="1">
      <x:c r="A43" s="129" t="str">
        <x:v>Partners activos objetivo</x:v>
      </x:c>
      <x:c r="B43" s="286" t="n">
        <x:f>'01_Assumptions'!B7</x:f>
        <x:v>2</x:v>
      </x:c>
      <x:c r="C43" s="286" t="n">
        <x:f>'01_Assumptions'!C7</x:f>
        <x:v>5</x:v>
      </x:c>
      <x:c r="D43" s="286" t="n">
        <x:f>'01_Assumptions'!D7</x:f>
        <x:v>11</x:v>
      </x:c>
      <x:c r="E43" s="286" t="n">
        <x:f>'01_Assumptions'!E7</x:f>
        <x:v>17</x:v>
      </x:c>
      <x:c r="F43" s="287" t="n">
        <x:f>'01_Assumptions'!F7</x:f>
        <x:v>23</x:v>
      </x:c>
      <x:c r="G43" s="123"/>
    </x:row>
    <x:row r="44" ht="15" hidden="0" customHeight="1">
      <x:c r="A44" s="133" t="str">
        <x:v>Delta partners vs objetivo</x:v>
      </x:c>
      <x:c r="B44" s="288" t="n">
        <x:f>B42-B43</x:f>
        <x:v>0</x:v>
      </x:c>
      <x:c r="C44" s="288" t="n">
        <x:f>C42-C43</x:f>
        <x:v>0</x:v>
      </x:c>
      <x:c r="D44" s="288" t="n">
        <x:f>D42-D43</x:f>
        <x:v>0</x:v>
      </x:c>
      <x:c r="E44" s="288" t="n">
        <x:f>E42-E43</x:f>
        <x:v>0</x:v>
      </x:c>
      <x:c r="F44" s="289" t="n">
        <x:f>F42-F43</x:f>
        <x:v>0</x:v>
      </x:c>
      <x:c r="G44" s="123"/>
    </x:row>
    <x:row r="45" ht="15" hidden="0" customHeight="1">
      <x:c r="A45" s="123"/>
      <x:c r="B45" s="123"/>
      <x:c r="C45" s="123"/>
      <x:c r="D45" s="123"/>
      <x:c r="E45" s="123"/>
      <x:c r="F45" s="123"/>
      <x:c r="G45" s="123"/>
    </x:row>
    <x:row r="46" ht="15" hidden="0" customHeight="1">
      <x:c r="A46" s="123" t="str">
        <x:v>Fee fabricante EUR/m2</x:v>
      </x:c>
      <x:c r="B46" s="270" t="n">
        <x:f>'01_Assumptions'!B12</x:f>
        <x:v>2.5</x:v>
      </x:c>
      <x:c r="C46" s="270" t="n">
        <x:f>'01_Assumptions'!C12</x:f>
        <x:v>2.5</x:v>
      </x:c>
      <x:c r="D46" s="270" t="n">
        <x:f>'01_Assumptions'!D12</x:f>
        <x:v>2.5</x:v>
      </x:c>
      <x:c r="E46" s="270" t="n">
        <x:f>'01_Assumptions'!E12</x:f>
        <x:v>2.5</x:v>
      </x:c>
      <x:c r="F46" s="270" t="n">
        <x:f>'01_Assumptions'!F12</x:f>
        <x:v>2.5</x:v>
      </x:c>
      <x:c r="G46" s="123"/>
    </x:row>
    <x:row r="47" ht="15" hidden="0" customHeight="1">
      <x:c r="A47" s="123" t="str">
        <x:v>Cobertura fee fabricante</x:v>
      </x:c>
      <x:c r="B47" s="290" t="n">
        <x:v>1</x:v>
      </x:c>
      <x:c r="C47" s="291" t="n">
        <x:v>1</x:v>
      </x:c>
      <x:c r="D47" s="291" t="n">
        <x:v>1</x:v>
      </x:c>
      <x:c r="E47" s="291" t="n">
        <x:v>1</x:v>
      </x:c>
      <x:c r="F47" s="292" t="n">
        <x:v>1</x:v>
      </x:c>
      <x:c r="G47" s="123"/>
    </x:row>
    <x:row r="48" ht="15" hidden="0" customHeight="1">
      <x:c r="A48" s="123" t="str">
        <x:v>Fee montaje EUR/m2</x:v>
      </x:c>
      <x:c r="B48" s="270" t="n">
        <x:f>'01_Assumptions'!B49</x:f>
        <x:v>2.5</x:v>
      </x:c>
      <x:c r="C48" s="270" t="n">
        <x:f>'01_Assumptions'!C49</x:f>
        <x:v>2.5</x:v>
      </x:c>
      <x:c r="D48" s="270" t="n">
        <x:f>'01_Assumptions'!D49</x:f>
        <x:v>2.5</x:v>
      </x:c>
      <x:c r="E48" s="270" t="n">
        <x:f>'01_Assumptions'!E49</x:f>
        <x:v>2.5</x:v>
      </x:c>
      <x:c r="F48" s="270" t="n">
        <x:f>'01_Assumptions'!F49</x:f>
        <x:v>2.5</x:v>
      </x:c>
      <x:c r="G48" s="123"/>
    </x:row>
    <x:row r="49" ht="15" hidden="0" customHeight="1">
      <x:c r="A49" s="123" t="str">
        <x:v>Cobertura fee montaje</x:v>
      </x:c>
      <x:c r="B49" s="290" t="n">
        <x:v>0.75</x:v>
      </x:c>
      <x:c r="C49" s="291" t="n">
        <x:v>0.85</x:v>
      </x:c>
      <x:c r="D49" s="291" t="n">
        <x:v>0.9</x:v>
      </x:c>
      <x:c r="E49" s="291" t="n">
        <x:v>0.93</x:v>
      </x:c>
      <x:c r="F49" s="292" t="n">
        <x:v>0.95</x:v>
      </x:c>
      <x:c r="G49" s="123"/>
    </x:row>
    <x:row r="50" ht="15" hidden="0" customHeight="1">
      <x:c r="A50" s="125" t="str">
        <x:v>Fee combinado efectivo EUR/m2</x:v>
      </x:c>
      <x:c r="B50" s="293" t="n">
        <x:f>B46*B47+B48*B49</x:f>
        <x:v>4.375</x:v>
      </x:c>
      <x:c r="C50" s="293" t="n">
        <x:f>C46*C47+C48*C49</x:f>
        <x:v>4.625</x:v>
      </x:c>
      <x:c r="D50" s="293" t="n">
        <x:f>D46*D47+D48*D49</x:f>
        <x:v>4.75</x:v>
      </x:c>
      <x:c r="E50" s="293" t="n">
        <x:f>E46*E47+E48*E49</x:f>
        <x:v>4.825</x:v>
      </x:c>
      <x:c r="F50" s="294" t="n">
        <x:f>F46*F47+F48*F49</x:f>
        <x:v>4.875</x:v>
      </x:c>
      <x:c r="G50" s="123"/>
    </x:row>
    <x:row r="51" ht="15" hidden="0" customHeight="1">
      <x:c r="A51" s="129" t="str">
        <x:v>Revenue fee fabricante EUR M</x:v>
      </x:c>
      <x:c r="B51" s="286" t="n">
        <x:f>'01_Assumptions'!B5*B46*B47/1000000</x:f>
        <x:v>0.35</x:v>
      </x:c>
      <x:c r="C51" s="286" t="n">
        <x:f>'01_Assumptions'!C5*C46*C47/1000000</x:f>
        <x:v>1.115</x:v>
      </x:c>
      <x:c r="D51" s="286" t="n">
        <x:f>'01_Assumptions'!D5*D46*D47/1000000</x:f>
        <x:v>2.6625</x:v>
      </x:c>
      <x:c r="E51" s="286" t="n">
        <x:f>'01_Assumptions'!E5*E46*E47/1000000</x:f>
        <x:v>4.8</x:v>
      </x:c>
      <x:c r="F51" s="287" t="n">
        <x:f>'01_Assumptions'!F5*F46*F47/1000000</x:f>
        <x:v>7.35</x:v>
      </x:c>
      <x:c r="G51" s="123"/>
    </x:row>
    <x:row r="52" ht="15" hidden="0" customHeight="1">
      <x:c r="A52" s="133" t="str">
        <x:v>Revenue fee montaje EUR M</x:v>
      </x:c>
      <x:c r="B52" s="288" t="n">
        <x:f>'01_Assumptions'!B5*B48*B49/1000000</x:f>
        <x:v>0.2625</x:v>
      </x:c>
      <x:c r="C52" s="288" t="n">
        <x:f>'01_Assumptions'!C5*C48*C49/1000000</x:f>
        <x:v>0.94775</x:v>
      </x:c>
      <x:c r="D52" s="288" t="n">
        <x:f>'01_Assumptions'!D5*D48*D49/1000000</x:f>
        <x:v>2.39625</x:v>
      </x:c>
      <x:c r="E52" s="288" t="n">
        <x:f>'01_Assumptions'!E5*E48*E49/1000000</x:f>
        <x:v>4.464</x:v>
      </x:c>
      <x:c r="F52" s="289" t="n">
        <x:f>'01_Assumptions'!F5*F48*F49/1000000</x:f>
        <x:v>6.9825</x:v>
      </x:c>
      <x:c r="G52" s="123"/>
    </x:row>
    <x:row r="53" ht="15" hidden="0" customHeight="1">
      <x:c r="A53" s="123"/>
      <x:c r="B53" s="123"/>
      <x:c r="C53" s="123"/>
      <x:c r="D53" s="123"/>
      <x:c r="E53" s="123"/>
      <x:c r="F53" s="123"/>
      <x:c r="G53" s="123"/>
    </x:row>
    <x:row r="54" ht="15" hidden="0" customHeight="1">
      <x:c r="A54" s="123" t="str">
        <x:v>GM digitalizacion fabricante</x:v>
      </x:c>
      <x:c r="B54" s="295" t="n">
        <x:v>0.55</x:v>
      </x:c>
      <x:c r="C54" s="296" t="n">
        <x:v>0.58</x:v>
      </x:c>
      <x:c r="D54" s="296" t="n">
        <x:v>0.6</x:v>
      </x:c>
      <x:c r="E54" s="296" t="n">
        <x:v>0.62</x:v>
      </x:c>
      <x:c r="F54" s="297" t="n">
        <x:v>0.65</x:v>
      </x:c>
      <x:c r="G54" s="123"/>
    </x:row>
    <x:row r="55" ht="15" hidden="0" customHeight="1">
      <x:c r="A55" s="123" t="str">
        <x:v>GM digitalizacion montaje</x:v>
      </x:c>
      <x:c r="B55" s="298" t="n">
        <x:v>0.6</x:v>
      </x:c>
      <x:c r="C55" s="299" t="n">
        <x:v>0.62</x:v>
      </x:c>
      <x:c r="D55" s="299" t="n">
        <x:v>0.65</x:v>
      </x:c>
      <x:c r="E55" s="299" t="n">
        <x:v>0.67</x:v>
      </x:c>
      <x:c r="F55" s="300" t="n">
        <x:v>0.7</x:v>
      </x:c>
      <x:c r="G55" s="123"/>
    </x:row>
    <x:row r="56" ht="15" hidden="0" customHeight="1">
      <x:c r="A56" s="123" t="str">
        <x:v>GM fee fabricante</x:v>
      </x:c>
      <x:c r="B56" s="298" t="n">
        <x:v>0.85</x:v>
      </x:c>
      <x:c r="C56" s="299" t="n">
        <x:v>0.86</x:v>
      </x:c>
      <x:c r="D56" s="299" t="n">
        <x:v>0.87</x:v>
      </x:c>
      <x:c r="E56" s="299" t="n">
        <x:v>0.88</x:v>
      </x:c>
      <x:c r="F56" s="300" t="n">
        <x:v>0.9</x:v>
      </x:c>
      <x:c r="G56" s="123"/>
    </x:row>
    <x:row r="57" ht="15" hidden="0" customHeight="1">
      <x:c r="A57" s="123" t="str">
        <x:v>GM fee montaje</x:v>
      </x:c>
      <x:c r="B57" s="301" t="n">
        <x:v>0.82</x:v>
      </x:c>
      <x:c r="C57" s="302" t="n">
        <x:v>0.84</x:v>
      </x:c>
      <x:c r="D57" s="302" t="n">
        <x:v>0.86</x:v>
      </x:c>
      <x:c r="E57" s="302" t="n">
        <x:v>0.87</x:v>
      </x:c>
      <x:c r="F57" s="303" t="n">
        <x:v>0.88</x:v>
      </x:c>
      <x:c r="G57" s="123"/>
    </x:row>
    <x:row r="58" ht="15" hidden="0" customHeight="1">
      <x:c r="A58" s="271" t="str">
        <x:v>Contribucion efectiva fees EUR/m2</x:v>
      </x:c>
      <x:c r="B58" s="272" t="n">
        <x:f>B46*B47*B56+B48*B49*B57</x:f>
        <x:v>3.6624999999999996</x:v>
      </x:c>
      <x:c r="C58" s="272" t="n">
        <x:f>C46*C47*C56+C48*C49*C57</x:f>
        <x:v>3.9349999999999996</x:v>
      </x:c>
      <x:c r="D58" s="272" t="n">
        <x:f>D46*D47*D56+D48*D49*D57</x:f>
        <x:v>4.109999999999999</x:v>
      </x:c>
      <x:c r="E58" s="272" t="n">
        <x:f>E46*E47*E56+E48*E49*E57</x:f>
        <x:v>4.2227500000000004</x:v>
      </x:c>
      <x:c r="F58" s="304" t="n">
        <x:f>F46*F47*F56+F48*F49*F57</x:f>
        <x:v>4.34</x:v>
      </x:c>
      <x:c r="G58" s="123"/>
    </x:row>
    <x:row r="59" ht="15" hidden="0" customHeight="1">
      <x:c r="A59" s="123"/>
      <x:c r="B59" s="123"/>
      <x:c r="C59" s="123"/>
      <x:c r="D59" s="123"/>
      <x:c r="E59" s="123"/>
      <x:c r="F59" s="123"/>
      <x:c r="G59" s="123"/>
    </x:row>
    <x:row r="60" ht="15" hidden="0" customHeight="1">
      <x:c r="A60" s="123"/>
      <x:c r="B60" s="123"/>
      <x:c r="C60" s="123"/>
      <x:c r="D60" s="123"/>
      <x:c r="E60" s="123"/>
      <x:c r="F60" s="123"/>
      <x:c r="G60" s="123"/>
    </x:row>
    <x:row r="61" ht="15" hidden="0" customHeight="1">
      <x:c r="A61" s="123"/>
      <x:c r="B61" s="123"/>
      <x:c r="C61" s="123"/>
      <x:c r="D61" s="123"/>
      <x:c r="E61" s="123"/>
      <x:c r="F61" s="123"/>
      <x:c r="G61" s="123"/>
    </x:row>
    <x:row r="62" ht="15" hidden="0" customHeight="1">
      <x:c r="A62" s="123"/>
      <x:c r="B62" s="123"/>
      <x:c r="C62" s="123"/>
      <x:c r="D62" s="123"/>
      <x:c r="E62" s="123"/>
      <x:c r="F62" s="123"/>
      <x:c r="G62" s="123"/>
    </x:row>
    <x:row r="63" ht="15" hidden="0" customHeight="1">
      <x:c r="A63" s="123"/>
      <x:c r="B63" s="123"/>
      <x:c r="C63" s="123"/>
      <x:c r="D63" s="123"/>
      <x:c r="E63" s="123"/>
      <x:c r="F63" s="123"/>
      <x:c r="G63" s="123"/>
    </x:row>
    <x:row r="64" ht="15" hidden="0" customHeight="1">
      <x:c r="A64" s="123"/>
      <x:c r="B64" s="123"/>
      <x:c r="C64" s="123"/>
      <x:c r="D64" s="123"/>
      <x:c r="E64" s="123"/>
      <x:c r="F64" s="123"/>
      <x:c r="G64" s="123"/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630001068115234" hidden="0" customWidth="1"/>
    <x:col min="2" max="2" width="6.630000114440918" hidden="0" customWidth="1"/>
    <x:col min="3" max="3" width="6" hidden="0" customWidth="1"/>
    <x:col min="4" max="4" width="41.75" hidden="0" customWidth="1"/>
    <x:col min="5" max="5" width="30.75" hidden="0" customWidth="1"/>
    <x:col min="6" max="6" width="15" hidden="0" customWidth="1"/>
  </x:cols>
  <x:sheetData>
    <x:row r="1" ht="15" hidden="0" customHeight="1">
      <x:c r="A1" s="121" t="str">
        <x:v>03 Use Funds</x:v>
      </x:c>
      <x:c r="B1" s="121"/>
      <x:c r="C1" s="121"/>
      <x:c r="D1" s="121"/>
      <x:c r="E1" s="121"/>
      <x:c r="F1" s="121"/>
      <x:c r="G1" s="2"/>
      <x:c r="H1" s="2"/>
    </x:row>
    <x:row r="2" ht="15" hidden="0" customHeight="1">
      <x:c r="A2" s="122" t="str">
        <x:v>Uso de los 300.000 EUR y gates de liberacion.</x:v>
      </x:c>
      <x:c r="B2" s="122"/>
      <x:c r="C2" s="122"/>
      <x:c r="D2" s="122"/>
      <x:c r="E2" s="122"/>
      <x:c r="F2" s="122"/>
      <x:c r="G2" s="4"/>
      <x:c r="H2" s="4"/>
    </x:row>
    <x:row r="3" ht="15" hidden="0" customHeight="1">
      <x:c r="A3" s="123"/>
      <x:c r="B3" s="123"/>
      <x:c r="C3" s="123"/>
      <x:c r="D3" s="123"/>
      <x:c r="E3" s="123"/>
      <x:c r="F3" s="123"/>
    </x:row>
    <x:row r="4" ht="15" hidden="0" customHeight="1">
      <x:c r="A4" s="124" t="str">
        <x:v>Bloque</x:v>
      </x:c>
      <x:c r="B4" s="124" t="str">
        <x:v>Importe</x:v>
      </x:c>
      <x:c r="C4" s="124" t="str">
        <x:v>% total</x:v>
      </x:c>
      <x:c r="D4" s="124" t="str">
        <x:v>Objetivo</x:v>
      </x:c>
      <x:c r="E4" s="124" t="str">
        <x:v>Gate</x:v>
      </x:c>
      <x:c r="F4" s="123"/>
    </x:row>
    <x:row r="5" ht="15" hidden="0" customHeight="1">
      <x:c r="A5" s="123" t="str">
        <x:v>Equipo base julio-diciembre 2026</x:v>
      </x:c>
      <x:c r="B5" s="266" t="n">
        <x:v>114600</x:v>
      </x:c>
      <x:c r="C5" s="309" t="n">
        <x:f>B5/$B$12</x:f>
        <x:v>0.382</x:v>
      </x:c>
      <x:c r="D5" s="123" t="str">
        <x:v>Continuidad directiva, producto, operaciones y comercial</x:v>
      </x:c>
      <x:c r="E5" s="123" t="str">
        <x:v>Calendario mensual y roles definidos</x:v>
      </x:c>
      <x:c r="F5" s="123"/>
    </x:row>
    <x:row r="6" ht="15" hidden="0" customHeight="1">
      <x:c r="A6" s="123" t="str">
        <x:v>Seguridad Social / cumplimiento laboral</x:v>
      </x:c>
      <x:c r="B6" s="266" t="n">
        <x:v>18000</x:v>
      </x:c>
      <x:c r="C6" s="309" t="n">
        <x:f>B6/$B$12</x:f>
        <x:v>0.06</x:v>
      </x:c>
      <x:c r="D6" s="123" t="str">
        <x:v>Provisiones laborales y regularizacion</x:v>
      </x:c>
      <x:c r="E6" s="123" t="str">
        <x:v>Contrataciones formalizadas</x:v>
      </x:c>
      <x:c r="F6" s="123"/>
    </x:row>
    <x:row r="7" ht="15" hidden="0" customHeight="1">
      <x:c r="A7" s="123" t="str">
        <x:v>Software / IT / telecom / IA</x:v>
      </x:c>
      <x:c r="B7" s="266" t="n">
        <x:v>78000</x:v>
      </x:c>
      <x:c r="C7" s="309" t="n">
        <x:f>B7/$B$12</x:f>
        <x:v>0.26</x:v>
      </x:c>
      <x:c r="D7" s="123" t="str">
        <x:v>CUEVA OS, DPP/POI, cloud, seguridad, demos y campo</x:v>
      </x:c>
      <x:c r="E7" s="123" t="str">
        <x:v>Compra por hitos y necesidad de proyecto</x:v>
      </x:c>
      <x:c r="F7" s="123"/>
    </x:row>
    <x:row r="8" ht="15" hidden="0" customHeight="1">
      <x:c r="A8" s="123" t="str">
        <x:v>Marketing y comunicacion</x:v>
      </x:c>
      <x:c r="B8" s="266" t="n">
        <x:v>18000</x:v>
      </x:c>
      <x:c r="C8" s="309" t="n">
        <x:f>B8/$B$12</x:f>
        <x:v>0.06</x:v>
      </x:c>
      <x:c r="D8" s="123" t="str">
        <x:v>Web, deck, casos, CRM y lanzamiento</x:v>
      </x:c>
      <x:c r="E8" s="123" t="str">
        <x:v>Producto demo estable</x:v>
      </x:c>
      <x:c r="F8" s="123"/>
    </x:row>
    <x:row r="9" ht="15" hidden="0" customHeight="1">
      <x:c r="A9" s="123" t="str">
        <x:v>Saneamiento deuda y cierres criticos</x:v>
      </x:c>
      <x:c r="B9" s="266" t="n">
        <x:v>43400</x:v>
      </x:c>
      <x:c r="C9" s="309" t="n">
        <x:f>B9/$B$12</x:f>
        <x:v>0.14466666666666667</x:v>
      </x:c>
      <x:c r="D9" s="123" t="str">
        <x:v>Medhi, Apellicer, Ferzohaus, Piedrahita y cierres menores</x:v>
      </x:c>
      <x:c r="E9" s="123" t="str">
        <x:v>Acuerdos firmados</x:v>
      </x:c>
      <x:c r="F9" s="123"/>
    </x:row>
    <x:row r="10" ht="15" hidden="0" customHeight="1">
      <x:c r="A10" s="123" t="str">
        <x:v>Hub OADAC / Valeriano / showroom</x:v>
      </x:c>
      <x:c r="B10" s="266" t="n">
        <x:v>23000</x:v>
      </x:c>
      <x:c r="C10" s="309" t="n">
        <x:f>B10/$B$12</x:f>
        <x:v>0.07666666666666666</x:v>
      </x:c>
      <x:c r="D10" s="123" t="str">
        <x:v>Nodo Menorca fase 0-1 sin sobredimensionar</x:v>
      </x:c>
      <x:c r="E10" s="123" t="str">
        <x:v>Acuerdo Valeriano y layout definido</x:v>
      </x:c>
      <x:c r="F10" s="123"/>
    </x:row>
    <x:row r="11" ht="15" hidden="0" customHeight="1">
      <x:c r="A11" s="123" t="str">
        <x:v>Legal, auditoria, documentacion y contingencia</x:v>
      </x:c>
      <x:c r="B11" s="266" t="n">
        <x:v>5000</x:v>
      </x:c>
      <x:c r="C11" s="309" t="n">
        <x:f>B11/$B$12</x:f>
        <x:v>0.016666666666666666</x:v>
      </x:c>
      <x:c r="D11" s="123" t="str">
        <x:v>Blindaje documental y data room</x:v>
      </x:c>
      <x:c r="E11" s="123" t="str">
        <x:v>Checklist audit-ready</x:v>
      </x:c>
      <x:c r="F11" s="123"/>
    </x:row>
    <x:row r="12" ht="15" hidden="0" customHeight="1">
      <x:c r="A12" s="271" t="str">
        <x:v>TOTAL</x:v>
      </x:c>
      <x:c r="B12" s="310" t="n">
        <x:f>SUM(B5:B11)</x:f>
        <x:v>300000</x:v>
      </x:c>
      <x:c r="C12" s="313" t="n">
        <x:f>SUM(C5:C11)</x:f>
        <x:v>1</x:v>
      </x:c>
      <x:c r="D12" s="273" t="str"/>
      <x:c r="E12" s="274" t="str"/>
      <x:c r="F12" s="123"/>
    </x:row>
    <x:row r="13" ht="15" hidden="0" customHeight="1">
      <x:c r="A13" s="123"/>
      <x:c r="B13" s="123"/>
      <x:c r="C13" s="123"/>
      <x:c r="D13" s="123"/>
      <x:c r="E13" s="123"/>
      <x:c r="F13" s="123"/>
    </x:row>
    <x:row r="14" ht="15" hidden="0" customHeight="1">
      <x:c r="A14" s="123"/>
      <x:c r="B14" s="123"/>
      <x:c r="C14" s="123"/>
      <x:c r="D14" s="123"/>
      <x:c r="E14" s="123"/>
      <x:c r="F14" s="123"/>
    </x:row>
    <x:row r="15" ht="15" hidden="0" customHeight="1">
      <x:c r="A15" s="123"/>
      <x:c r="B15" s="123"/>
      <x:c r="C15" s="123"/>
      <x:c r="D15" s="123"/>
      <x:c r="E15" s="123"/>
      <x:c r="F15" s="123"/>
    </x:row>
    <x:row r="16" ht="15" hidden="0" customHeight="1">
      <x:c r="A16" s="123"/>
      <x:c r="B16" s="123"/>
      <x:c r="C16" s="123"/>
      <x:c r="D16" s="123"/>
      <x:c r="E16" s="123"/>
      <x:c r="F16" s="123"/>
    </x:row>
    <x:row r="17" ht="15" hidden="0" customHeight="1">
      <x:c r="A17" s="123"/>
      <x:c r="B17" s="123"/>
      <x:c r="C17" s="123"/>
      <x:c r="D17" s="123"/>
      <x:c r="E17" s="123"/>
      <x:c r="F17" s="123"/>
    </x:row>
    <x:row r="18" ht="15" hidden="0" customHeight="1">
      <x:c r="A18" s="123"/>
      <x:c r="B18" s="123"/>
      <x:c r="C18" s="123"/>
      <x:c r="D18" s="123"/>
      <x:c r="E18" s="123"/>
      <x:c r="F18" s="123"/>
    </x:row>
    <x:row r="19" ht="15" hidden="0" customHeight="1">
      <x:c r="A19" s="123"/>
      <x:c r="B19" s="123"/>
      <x:c r="C19" s="123"/>
      <x:c r="D19" s="123"/>
      <x:c r="E19" s="123"/>
      <x:c r="F19" s="123"/>
    </x:row>
    <x:row r="20" ht="15" hidden="0" customHeight="1">
      <x:c r="A20" s="123"/>
      <x:c r="B20" s="123"/>
      <x:c r="C20" s="123"/>
      <x:c r="D20" s="123"/>
      <x:c r="E20" s="123"/>
      <x:c r="F20" s="123"/>
    </x:row>
    <x:row r="21" ht="15" hidden="0" customHeight="1">
      <x:c r="A21" s="123"/>
      <x:c r="B21" s="123"/>
      <x:c r="C21" s="123"/>
      <x:c r="D21" s="123"/>
      <x:c r="E21" s="123"/>
      <x:c r="F21" s="123"/>
    </x:row>
    <x:row r="22" ht="15" hidden="0" customHeight="1">
      <x:c r="A22" s="123"/>
      <x:c r="B22" s="123"/>
      <x:c r="C22" s="123"/>
      <x:c r="D22" s="123"/>
      <x:c r="E22" s="123"/>
      <x:c r="F22" s="123"/>
    </x:row>
    <x:row r="23" ht="15" hidden="0" customHeight="1">
      <x:c r="A23" s="123"/>
      <x:c r="B23" s="123"/>
      <x:c r="C23" s="123"/>
      <x:c r="D23" s="123"/>
      <x:c r="E23" s="123"/>
      <x:c r="F23" s="123"/>
    </x:row>
    <x:row r="24" ht="15" hidden="0" customHeight="1">
      <x:c r="A24" s="123"/>
      <x:c r="B24" s="123"/>
      <x:c r="C24" s="123"/>
      <x:c r="D24" s="123"/>
      <x:c r="E24" s="123"/>
      <x:c r="F24" s="123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7.5" hidden="0" customWidth="1"/>
    <x:col min="2" max="2" width="17.25" hidden="0" customWidth="1"/>
    <x:col min="3" max="3" width="8.130000114440918" hidden="0" customWidth="1"/>
    <x:col min="4" max="4" width="6.25" hidden="0" customWidth="1"/>
    <x:col min="5" max="5" width="8.75" hidden="0" customWidth="1"/>
    <x:col min="6" max="6" width="5.130000114440918" hidden="0" customWidth="1"/>
    <x:col min="7" max="7" width="10.75" hidden="0" customWidth="1"/>
    <x:col min="8" max="8" width="11.5" hidden="0" customWidth="1"/>
    <x:col min="9" max="9" width="5.880000114440918" hidden="0" customWidth="1"/>
    <x:col min="10" max="10" width="5.75" hidden="0" customWidth="1"/>
    <x:col min="11" max="11" width="13.25" hidden="0" customWidth="1"/>
    <x:col min="12" max="12" width="16.6299991607666" hidden="0" customWidth="1"/>
    <x:col min="13" max="13" width="23.5" hidden="0" customWidth="1"/>
    <x:col min="14" max="14" width="27.8799991607666" hidden="0" customWidth="1"/>
    <x:col min="15" max="15" width="23.5" hidden="0" customWidth="1"/>
  </x:cols>
  <x:sheetData>
    <x:row r="1" ht="15" hidden="0" customHeight="1">
      <x:c r="A1" s="121" t="str">
        <x:v>04 Projects 2027</x:v>
      </x:c>
      <x:c r="B1" s="121"/>
      <x:c r="C1" s="121"/>
      <x:c r="D1" s="121"/>
      <x:c r="E1" s="121"/>
      <x:c r="F1" s="121"/>
      <x:c r="G1" s="121"/>
      <x:c r="H1" s="121"/>
      <x:c r="I1" s="123"/>
      <x:c r="J1" s="123"/>
      <x:c r="K1" s="123"/>
      <x:c r="L1" s="123"/>
      <x:c r="M1" s="123"/>
      <x:c r="N1" s="123"/>
      <x:c r="O1" s="123"/>
    </x:row>
    <x:row r="2" ht="15" hidden="0" customHeight="1">
      <x:c r="A2" s="122" t="str">
        <x:v>Pipeline 2027: management case, ponderacion de riesgo y evidencia para reconocer ingresos.</x:v>
      </x:c>
      <x:c r="B2" s="122"/>
      <x:c r="C2" s="122"/>
      <x:c r="D2" s="122"/>
      <x:c r="E2" s="122"/>
      <x:c r="F2" s="122"/>
      <x:c r="G2" s="122"/>
      <x:c r="H2" s="122"/>
      <x:c r="I2" s="123"/>
      <x:c r="J2" s="123"/>
      <x:c r="K2" s="123"/>
      <x:c r="L2" s="123"/>
      <x:c r="M2" s="123"/>
      <x:c r="N2" s="123"/>
      <x:c r="O2" s="123"/>
    </x:row>
    <x:row r="3" ht="15" hidden="0" customHeight="1">
      <x:c r="A3" s="123"/>
      <x:c r="B3" s="123"/>
      <x:c r="C3" s="123"/>
      <x:c r="D3" s="123"/>
      <x:c r="E3" s="123"/>
      <x:c r="F3" s="123"/>
      <x:c r="G3" s="123"/>
      <x:c r="H3" s="123"/>
      <x:c r="I3" s="123"/>
      <x:c r="J3" s="123"/>
      <x:c r="K3" s="123"/>
      <x:c r="L3" s="123"/>
      <x:c r="M3" s="123"/>
      <x:c r="N3" s="123"/>
      <x:c r="O3" s="123"/>
    </x:row>
    <x:row r="4" ht="15" hidden="0" customHeight="1">
      <x:c r="A4" s="124" t="str">
        <x:v>Proyecto</x:v>
      </x:c>
      <x:c r="B4" s="124" t="str">
        <x:v>Tipo</x:v>
      </x:c>
      <x:c r="C4" s="124" t="str">
        <x:v>Base 2027</x:v>
      </x:c>
      <x:c r="D4" s="124" t="str">
        <x:v>Prob. %</x:v>
      </x:c>
      <x:c r="E4" s="124" t="str">
        <x:v>Ponderado</x:v>
      </x:c>
      <x:c r="F4" s="124" t="str">
        <x:v>GM %</x:v>
      </x:c>
      <x:c r="G4" s="124" t="str">
        <x:v>Contrib. Base</x:v>
      </x:c>
      <x:c r="H4" s="124" t="str">
        <x:v>Contrib. Pond.</x:v>
      </x:c>
      <x:c r="I4" s="124" t="str">
        <x:v>Inicio</x:v>
      </x:c>
      <x:c r="J4" s="124" t="str">
        <x:v>Fin</x:v>
      </x:c>
      <x:c r="K4" s="124" t="str">
        <x:v>Responsable</x:v>
      </x:c>
      <x:c r="L4" s="124" t="str">
        <x:v>Contraparte</x:v>
      </x:c>
      <x:c r="M4" s="124" t="str">
        <x:v>Gate</x:v>
      </x:c>
      <x:c r="N4" s="124" t="str">
        <x:v>Riesgo</x:v>
      </x:c>
      <x:c r="O4" s="124" t="str">
        <x:v>Decision si falla</x:v>
      </x:c>
    </x:row>
    <x:row r="5" ht="15" hidden="0" customHeight="1">
      <x:c r="A5" s="123" t="str">
        <x:v>Llar de Mar 2</x:v>
      </x:c>
      <x:c r="B5" s="123" t="str">
        <x:v>Proyecto constructivo</x:v>
      </x:c>
      <x:c r="C5" s="266" t="n">
        <x:f>'02_Plan_300K'!Y6</x:f>
        <x:v>535000</x:v>
      </x:c>
      <x:c r="D5" s="309" t="n">
        <x:f>'02_Plan_300K'!E6</x:f>
        <x:v>0.8</x:v>
      </x:c>
      <x:c r="E5" s="266" t="n">
        <x:f>C5*D5</x:f>
        <x:v>428000</x:v>
      </x:c>
      <x:c r="F5" s="309" t="n">
        <x:f>'02_Plan_300K'!D6</x:f>
        <x:v>0.25</x:v>
      </x:c>
      <x:c r="G5" s="266" t="n">
        <x:f>C5*F5</x:f>
        <x:v>133750</x:v>
      </x:c>
      <x:c r="H5" s="266" t="n">
        <x:f>E5*F5</x:f>
        <x:v>107000</x:v>
      </x:c>
      <x:c r="I5" s="123" t="str">
        <x:v>Ene-27</x:v>
      </x:c>
      <x:c r="J5" s="123" t="str">
        <x:v>Abr-27</x:v>
      </x:c>
      <x:c r="K5" s="123" t="str">
        <x:v>Luis/Angel</x:v>
      </x:c>
      <x:c r="L5" s="123" t="str">
        <x:v>TASH/Barionika</x:v>
      </x:c>
      <x:c r="M5" s="123" t="str">
        <x:v>Contrato + anticipo</x:v>
      </x:c>
      <x:c r="N5" s="123" t="str">
        <x:v>Margen obra / anticipo</x:v>
      </x:c>
      <x:c r="O5" s="123" t="str">
        <x:v>No activar coste sin anticipo</x:v>
      </x:c>
    </x:row>
    <x:row r="6" ht="15" hidden="0" customHeight="1">
      <x:c r="A6" s="123" t="str">
        <x:v>Digitalizacion fabricante partner piloto</x:v>
      </x:c>
      <x:c r="B6" s="123" t="str">
        <x:v>Factory Enablement</x:v>
      </x:c>
      <x:c r="C6" s="266" t="n">
        <x:f>'02_Plan_300K'!Y7</x:f>
        <x:v>250000</x:v>
      </x:c>
      <x:c r="D6" s="309" t="n">
        <x:f>'02_Plan_300K'!E7</x:f>
        <x:v>0.7</x:v>
      </x:c>
      <x:c r="E6" s="266" t="n">
        <x:f>C6*D6</x:f>
        <x:v>175000</x:v>
      </x:c>
      <x:c r="F6" s="309" t="n">
        <x:f>'02_Plan_300K'!D7</x:f>
        <x:v>0.58</x:v>
      </x:c>
      <x:c r="G6" s="266" t="n">
        <x:f>C6*F6</x:f>
        <x:v>145000</x:v>
      </x:c>
      <x:c r="H6" s="266" t="n">
        <x:f>E6*F6</x:f>
        <x:v>101500</x:v>
      </x:c>
      <x:c r="I6" s="123" t="str">
        <x:v>Ene-27</x:v>
      </x:c>
      <x:c r="J6" s="123" t="str">
        <x:v>Abr-27</x:v>
      </x:c>
      <x:c r="K6" s="123" t="str">
        <x:v>Luis/Hernan</x:v>
      </x:c>
      <x:c r="L6" s="123" t="str">
        <x:v>Partner industrial</x:v>
      </x:c>
      <x:c r="M6" s="123" t="str">
        <x:v>m2 planta validados</x:v>
      </x:c>
      <x:c r="N6" s="123" t="str">
        <x:v>m2 reales de planta y alcance firmado</x:v>
      </x:c>
      <x:c r="O6" s="123" t="str">
        <x:v>Reclasificar tier o fasear</x:v>
      </x:c>
    </x:row>
    <x:row r="7" ht="15" hidden="0" customHeight="1">
      <x:c r="A7" s="123" t="str">
        <x:v>Digitalizacion equipo de montaje</x:v>
      </x:c>
      <x:c r="B7" s="123" t="str">
        <x:v>Crew Enablement</x:v>
      </x:c>
      <x:c r="C7" s="266" t="n">
        <x:f>'02_Plan_300K'!Y8</x:f>
        <x:v>35000</x:v>
      </x:c>
      <x:c r="D7" s="309" t="n">
        <x:f>'02_Plan_300K'!E8</x:f>
        <x:v>0.7</x:v>
      </x:c>
      <x:c r="E7" s="266" t="n">
        <x:f>C7*D7</x:f>
        <x:v>24500</x:v>
      </x:c>
      <x:c r="F7" s="309" t="n">
        <x:f>'02_Plan_300K'!D8</x:f>
        <x:v>0.62</x:v>
      </x:c>
      <x:c r="G7" s="266" t="n">
        <x:f>C7*F7</x:f>
        <x:v>21700</x:v>
      </x:c>
      <x:c r="H7" s="266" t="n">
        <x:f>E7*F7</x:f>
        <x:v>15190</x:v>
      </x:c>
      <x:c r="I7" s="123" t="str">
        <x:v>Abr-27</x:v>
      </x:c>
      <x:c r="J7" s="123" t="str">
        <x:v>Abr-27</x:v>
      </x:c>
      <x:c r="K7" s="123" t="str">
        <x:v>Luis/Operaciones</x:v>
      </x:c>
      <x:c r="L7" s="123" t="str">
        <x:v>Equipo instalador</x:v>
      </x:c>
      <x:c r="M7" s="123" t="str">
        <x:v>Cuadrillas y operarios validados</x:v>
      </x:c>
      <x:c r="N7" s="123" t="str">
        <x:v>Cuadrillas y operarios identificados</x:v>
      </x:c>
      <x:c r="O7" s="123" t="str">
        <x:v>Reducir a Crew Starter</x:v>
      </x:c>
    </x:row>
    <x:row r="8" ht="15" hidden="0" customHeight="1">
      <x:c r="A8" s="123" t="str">
        <x:v>Fee de Red Fabricante - 52.000 m2</x:v>
      </x:c>
      <x:c r="B8" s="123" t="str">
        <x:v>Usage fee</x:v>
      </x:c>
      <x:c r="C8" s="266" t="n">
        <x:f>'02_Plan_300K'!Y9</x:f>
        <x:v>130000.00000000003</x:v>
      </x:c>
      <x:c r="D8" s="309" t="n">
        <x:f>'02_Plan_300K'!E9</x:f>
        <x:v>0.7</x:v>
      </x:c>
      <x:c r="E8" s="266" t="n">
        <x:f>C8*D8</x:f>
        <x:v>91000.00000000001</x:v>
      </x:c>
      <x:c r="F8" s="309" t="n">
        <x:f>'02_Plan_300K'!D9</x:f>
        <x:v>0.86</x:v>
      </x:c>
      <x:c r="G8" s="266" t="n">
        <x:f>C8*F8</x:f>
        <x:v>111800.00000000003</x:v>
      </x:c>
      <x:c r="H8" s="266" t="n">
        <x:f>E8*F8</x:f>
        <x:v>78260.00000000001</x:v>
      </x:c>
      <x:c r="I8" s="123" t="str">
        <x:v>Feb-27</x:v>
      </x:c>
      <x:c r="J8" s="123" t="str">
        <x:v>Dic-27</x:v>
      </x:c>
      <x:c r="K8" s="123" t="str">
        <x:v>Luis/Operaciones</x:v>
      </x:c>
      <x:c r="L8" s="123" t="str">
        <x:v>Fabricante / proyectos</x:v>
      </x:c>
      <x:c r="M8" s="123" t="str">
        <x:v>m2 fabricados verificados</x:v>
      </x:c>
      <x:c r="N8" s="123" t="str">
        <x:v>m2 fabricados y trazados</x:v>
      </x:c>
      <x:c r="O8" s="123" t="str">
        <x:v>Facturar solo m2 verificados</x:v>
      </x:c>
    </x:row>
    <x:row r="9" ht="15" hidden="0" customHeight="1">
      <x:c r="A9" s="123" t="str">
        <x:v>Fee de Red Montaje - 52.000 m2</x:v>
      </x:c>
      <x:c r="B9" s="123" t="str">
        <x:v>Usage fee</x:v>
      </x:c>
      <x:c r="C9" s="266" t="n">
        <x:f>'02_Plan_300K'!Y10</x:f>
        <x:v>130000.00000000003</x:v>
      </x:c>
      <x:c r="D9" s="309" t="n">
        <x:f>'02_Plan_300K'!E10</x:f>
        <x:v>0.7</x:v>
      </x:c>
      <x:c r="E9" s="266" t="n">
        <x:f>C9*D9</x:f>
        <x:v>91000.00000000001</x:v>
      </x:c>
      <x:c r="F9" s="309" t="n">
        <x:f>'02_Plan_300K'!D10</x:f>
        <x:v>0.84</x:v>
      </x:c>
      <x:c r="G9" s="266" t="n">
        <x:f>C9*F9</x:f>
        <x:v>109200.00000000001</x:v>
      </x:c>
      <x:c r="H9" s="266" t="n">
        <x:f>E9*F9</x:f>
        <x:v>76440.00000000001</x:v>
      </x:c>
      <x:c r="I9" s="123" t="str">
        <x:v>Feb-27</x:v>
      </x:c>
      <x:c r="J9" s="123" t="str">
        <x:v>Dic-27</x:v>
      </x:c>
      <x:c r="K9" s="123" t="str">
        <x:v>Luis/Operaciones</x:v>
      </x:c>
      <x:c r="L9" s="123" t="str">
        <x:v>Montador / proyectos</x:v>
      </x:c>
      <x:c r="M9" s="123" t="str">
        <x:v>m2 instalados verificados</x:v>
      </x:c>
      <x:c r="N9" s="123" t="str">
        <x:v>m2 instalados con Site Proof</x:v>
      </x:c>
      <x:c r="O9" s="123" t="str">
        <x:v>Facturar solo m2 verificados</x:v>
      </x:c>
    </x:row>
    <x:row r="10" ht="15" hidden="0" customHeight="1">
      <x:c r="A10" s="123" t="str">
        <x:v>KIWA/RMOOB - proyecto unico</x:v>
      </x:c>
      <x:c r="B10" s="123" t="str">
        <x:v>Certificacion / SaaS</x:v>
      </x:c>
      <x:c r="C10" s="266" t="n">
        <x:f>'02_Plan_300K'!Y11</x:f>
        <x:v>400000</x:v>
      </x:c>
      <x:c r="D10" s="309" t="n">
        <x:f>'02_Plan_300K'!E11</x:f>
        <x:v>0.5</x:v>
      </x:c>
      <x:c r="E10" s="266" t="n">
        <x:f>C10*D10</x:f>
        <x:v>200000</x:v>
      </x:c>
      <x:c r="F10" s="309" t="n">
        <x:f>'02_Plan_300K'!D11</x:f>
        <x:v>0.55</x:v>
      </x:c>
      <x:c r="G10" s="266" t="n">
        <x:f>C10*F10</x:f>
        <x:v>220000.00000000003</x:v>
      </x:c>
      <x:c r="H10" s="266" t="n">
        <x:f>E10*F10</x:f>
        <x:v>110000.00000000001</x:v>
      </x:c>
      <x:c r="I10" s="123" t="str">
        <x:v>Oct-27</x:v>
      </x:c>
      <x:c r="J10" s="123" t="str">
        <x:v>Dic-27</x:v>
      </x:c>
      <x:c r="K10" s="123" t="str">
        <x:v>Luis/Hernan</x:v>
      </x:c>
      <x:c r="L10" s="123" t="str">
        <x:v>KIWA/RMOOB</x:v>
      </x:c>
      <x:c r="M10" s="123" t="str">
        <x:v>Contrato + alcance + hitos</x:v>
      </x:c>
      <x:c r="N10" s="123" t="str">
        <x:v>Contrato, alcance y cobro por hitos</x:v>
      </x:c>
      <x:c r="O10" s="123" t="str">
        <x:v>No reconocer sin firma</x:v>
      </x:c>
    </x:row>
    <x:row r="11" ht="15" hidden="0" customHeight="1">
      <x:c r="A11" s="123" t="str">
        <x:v>Moolde / Plastic People / Calaf</x:v>
      </x:c>
      <x:c r="B11" s="123" t="str">
        <x:v>Piloto circular</x:v>
      </x:c>
      <x:c r="C11" s="266" t="n">
        <x:f>'02_Plan_300K'!Y12</x:f>
        <x:v>90000</x:v>
      </x:c>
      <x:c r="D11" s="309" t="n">
        <x:f>'02_Plan_300K'!E12</x:f>
        <x:v>0.45</x:v>
      </x:c>
      <x:c r="E11" s="266" t="n">
        <x:f>C11*D11</x:f>
        <x:v>40500</x:v>
      </x:c>
      <x:c r="F11" s="309" t="n">
        <x:f>'02_Plan_300K'!D12</x:f>
        <x:v>0.4</x:v>
      </x:c>
      <x:c r="G11" s="266" t="n">
        <x:f>C11*F11</x:f>
        <x:v>36000</x:v>
      </x:c>
      <x:c r="H11" s="266" t="n">
        <x:f>E11*F11</x:f>
        <x:v>16200</x:v>
      </x:c>
      <x:c r="I11" s="123" t="str">
        <x:v>May-27</x:v>
      </x:c>
      <x:c r="J11" s="123" t="str">
        <x:v>Sep-27</x:v>
      </x:c>
      <x:c r="K11" s="123" t="str">
        <x:v>Luis/Hernan</x:v>
      </x:c>
      <x:c r="L11" s="123" t="str">
        <x:v>Plastic People/Calaf</x:v>
      </x:c>
      <x:c r="M11" s="123" t="str">
        <x:v>Cofinanciacion + presupuesto</x:v>
      </x:c>
      <x:c r="N11" s="123" t="str">
        <x:v>Cofinanciacion y presupuesto</x:v>
      </x:c>
      <x:c r="O11" s="123" t="str">
        <x:v>Evitar piloto gratuito</x:v>
      </x:c>
    </x:row>
    <x:row r="12" ht="15" hidden="0" customHeight="1">
      <x:c r="A12" s="123" t="str">
        <x:v>Marsam / marcas producto</x:v>
      </x:c>
      <x:c r="B12" s="123" t="str">
        <x:v>Prototipos comerciales</x:v>
      </x:c>
      <x:c r="C12" s="266" t="n">
        <x:f>'02_Plan_300K'!Y13</x:f>
        <x:v>40000</x:v>
      </x:c>
      <x:c r="D12" s="309" t="n">
        <x:f>'02_Plan_300K'!E13</x:f>
        <x:v>0.45</x:v>
      </x:c>
      <x:c r="E12" s="266" t="n">
        <x:f>C12*D12</x:f>
        <x:v>18000</x:v>
      </x:c>
      <x:c r="F12" s="309" t="n">
        <x:f>'02_Plan_300K'!D13</x:f>
        <x:v>0.55</x:v>
      </x:c>
      <x:c r="G12" s="266" t="n">
        <x:f>C12*F12</x:f>
        <x:v>22000</x:v>
      </x:c>
      <x:c r="H12" s="266" t="n">
        <x:f>E12*F12</x:f>
        <x:v>9900</x:v>
      </x:c>
      <x:c r="I12" s="123" t="str">
        <x:v>Jun-27</x:v>
      </x:c>
      <x:c r="J12" s="123" t="str">
        <x:v>Nov-27</x:v>
      </x:c>
      <x:c r="K12" s="123" t="str">
        <x:v>Luis/Emilio</x:v>
      </x:c>
      <x:c r="L12" s="123" t="str">
        <x:v>Marsam/marcas</x:v>
      </x:c>
      <x:c r="M12" s="123" t="str">
        <x:v>Oferta aceptada</x:v>
      </x:c>
      <x:c r="N12" s="123" t="str">
        <x:v>Oferta aceptada</x:v>
      </x:c>
      <x:c r="O12" s="123" t="str">
        <x:v>Paquetizar prototipo</x:v>
      </x:c>
    </x:row>
    <x:row r="13" ht="15" hidden="0" customHeight="1">
      <x:c r="A13" s="123" t="str">
        <x:v>SaaS / POI / DPP recurrente</x:v>
      </x:c>
      <x:c r="B13" s="123" t="str">
        <x:v>Recurrente inicial</x:v>
      </x:c>
      <x:c r="C13" s="266" t="n">
        <x:f>'02_Plan_300K'!Y14</x:f>
        <x:v>60000</x:v>
      </x:c>
      <x:c r="D13" s="309" t="n">
        <x:f>'02_Plan_300K'!E14</x:f>
        <x:v>0.6</x:v>
      </x:c>
      <x:c r="E13" s="266" t="n">
        <x:f>C13*D13</x:f>
        <x:v>36000</x:v>
      </x:c>
      <x:c r="F13" s="309" t="n">
        <x:f>'02_Plan_300K'!D14</x:f>
        <x:v>0.75</x:v>
      </x:c>
      <x:c r="G13" s="266" t="n">
        <x:f>C13*F13</x:f>
        <x:v>45000</x:v>
      </x:c>
      <x:c r="H13" s="266" t="n">
        <x:f>E13*F13</x:f>
        <x:v>27000</x:v>
      </x:c>
      <x:c r="I13" s="123" t="str">
        <x:v>Jul-27</x:v>
      </x:c>
      <x:c r="J13" s="123" t="str">
        <x:v>Dic-27</x:v>
      </x:c>
      <x:c r="K13" s="123" t="str">
        <x:v>Hernan/Santi</x:v>
      </x:c>
      <x:c r="L13" s="123" t="str">
        <x:v>Clientes pipeline</x:v>
      </x:c>
      <x:c r="M13" s="123" t="str">
        <x:v>Contrato activo + uso</x:v>
      </x:c>
      <x:c r="N13" s="123" t="str">
        <x:v>Contratos activos y uso</x:v>
      </x:c>
      <x:c r="O13" s="123" t="str">
        <x:v>Reducir alcance a MVP vendible</x:v>
      </x:c>
    </x:row>
    <x:row r="14" ht="15" hidden="0" customHeight="1">
      <x:c r="A14" s="271" t="str">
        <x:v>TOTAL</x:v>
      </x:c>
      <x:c r="B14" s="273" t="str"/>
      <x:c r="C14" s="310" t="n">
        <x:f>SUM(C5:C13)</x:f>
        <x:v>1670000</x:v>
      </x:c>
      <x:c r="D14" s="273" t="str"/>
      <x:c r="E14" s="310" t="n">
        <x:f>SUM(E5:E13)</x:f>
        <x:v>1104000</x:v>
      </x:c>
      <x:c r="F14" s="273" t="str"/>
      <x:c r="G14" s="310" t="n">
        <x:f>SUM(G5:G13)</x:f>
        <x:v>844450</x:v>
      </x:c>
      <x:c r="H14" s="310" t="n">
        <x:f>SUM(H5:H13)</x:f>
        <x:v>541490</x:v>
      </x:c>
      <x:c r="I14" s="273" t="str"/>
      <x:c r="J14" s="273" t="str"/>
      <x:c r="K14" s="273" t="str"/>
      <x:c r="L14" s="273" t="str"/>
      <x:c r="M14" s="273" t="str"/>
      <x:c r="N14" s="273" t="str"/>
      <x:c r="O14" s="274" t="str"/>
    </x:row>
    <x:row r="15" ht="15" hidden="0" customHeight="1">
      <x:c r="A15" s="123"/>
      <x:c r="B15" s="123"/>
      <x:c r="C15" s="123"/>
      <x:c r="D15" s="123"/>
      <x:c r="E15" s="123"/>
      <x:c r="F15" s="123"/>
      <x:c r="G15" s="123"/>
      <x:c r="H15" s="123"/>
      <x:c r="I15" s="123"/>
      <x:c r="J15" s="123"/>
      <x:c r="K15" s="123"/>
      <x:c r="L15" s="123"/>
      <x:c r="M15" s="123"/>
      <x:c r="N15" s="123"/>
      <x:c r="O15" s="123"/>
    </x:row>
    <x:row r="16" ht="15" hidden="0" customHeight="1">
      <x:c r="A16" s="123"/>
      <x:c r="B16" s="123"/>
      <x:c r="C16" s="123"/>
      <x:c r="D16" s="123"/>
      <x:c r="E16" s="123"/>
      <x:c r="F16" s="123"/>
      <x:c r="G16" s="123"/>
      <x:c r="H16" s="123"/>
      <x:c r="I16" s="123"/>
      <x:c r="J16" s="123"/>
      <x:c r="K16" s="123"/>
      <x:c r="L16" s="123"/>
      <x:c r="M16" s="123"/>
      <x:c r="N16" s="123"/>
      <x:c r="O16" s="123"/>
    </x:row>
    <x:row r="17" ht="15" hidden="0" customHeight="1">
      <x:c r="A17" s="123"/>
      <x:c r="B17" s="123"/>
      <x:c r="C17" s="123"/>
      <x:c r="D17" s="123"/>
      <x:c r="E17" s="123"/>
      <x:c r="F17" s="123"/>
      <x:c r="G17" s="123"/>
      <x:c r="H17" s="123"/>
      <x:c r="I17" s="123"/>
      <x:c r="J17" s="123"/>
      <x:c r="K17" s="123"/>
      <x:c r="L17" s="123"/>
      <x:c r="M17" s="123"/>
      <x:c r="N17" s="123"/>
      <x:c r="O17" s="123"/>
    </x:row>
    <x:row r="18" ht="15" hidden="0" customHeight="1">
      <x:c r="A18" s="123"/>
      <x:c r="B18" s="123"/>
      <x:c r="C18" s="123"/>
      <x:c r="D18" s="123"/>
      <x:c r="E18" s="123"/>
      <x:c r="F18" s="123"/>
      <x:c r="G18" s="123"/>
      <x:c r="H18" s="123"/>
      <x:c r="I18" s="123"/>
      <x:c r="J18" s="123"/>
      <x:c r="K18" s="123"/>
      <x:c r="L18" s="123"/>
      <x:c r="M18" s="123"/>
      <x:c r="N18" s="123"/>
      <x:c r="O18" s="123"/>
    </x:row>
    <x:row r="19" ht="15" hidden="0" customHeight="1">
      <x:c r="A19" s="123"/>
      <x:c r="B19" s="123"/>
      <x:c r="C19" s="123"/>
      <x:c r="D19" s="123"/>
      <x:c r="E19" s="123"/>
      <x:c r="F19" s="123"/>
      <x:c r="G19" s="123"/>
      <x:c r="H19" s="123"/>
      <x:c r="I19" s="123"/>
      <x:c r="J19" s="123"/>
      <x:c r="K19" s="123"/>
      <x:c r="L19" s="123"/>
      <x:c r="M19" s="123"/>
      <x:c r="N19" s="123"/>
      <x:c r="O19" s="123"/>
    </x:row>
    <x:row r="20" ht="15" hidden="0" customHeight="1">
      <x:c r="A20" s="123"/>
      <x:c r="B20" s="123"/>
      <x:c r="C20" s="123"/>
      <x:c r="D20" s="123"/>
      <x:c r="E20" s="123"/>
      <x:c r="F20" s="123"/>
      <x:c r="G20" s="123"/>
      <x:c r="H20" s="123"/>
      <x:c r="I20" s="123"/>
      <x:c r="J20" s="123"/>
      <x:c r="K20" s="123"/>
      <x:c r="L20" s="123"/>
      <x:c r="M20" s="123"/>
      <x:c r="N20" s="123"/>
      <x:c r="O20" s="123"/>
    </x:row>
    <x:row r="21" ht="15" hidden="0" customHeight="1">
      <x:c r="A21" s="123"/>
      <x:c r="B21" s="123"/>
      <x:c r="C21" s="123"/>
      <x:c r="D21" s="123"/>
      <x:c r="E21" s="123"/>
      <x:c r="F21" s="123"/>
      <x:c r="G21" s="123"/>
      <x:c r="H21" s="123"/>
      <x:c r="I21" s="123"/>
      <x:c r="J21" s="123"/>
      <x:c r="K21" s="123"/>
      <x:c r="L21" s="123"/>
      <x:c r="M21" s="123"/>
      <x:c r="N21" s="123"/>
      <x:c r="O21" s="123"/>
    </x:row>
    <x:row r="22" ht="15" hidden="0" customHeight="1">
      <x:c r="A22" s="123"/>
      <x:c r="B22" s="123"/>
      <x:c r="C22" s="123"/>
      <x:c r="D22" s="123"/>
      <x:c r="E22" s="123"/>
      <x:c r="F22" s="123"/>
      <x:c r="G22" s="123"/>
      <x:c r="H22" s="123"/>
      <x:c r="I22" s="123"/>
      <x:c r="J22" s="123"/>
      <x:c r="K22" s="123"/>
      <x:c r="L22" s="123"/>
      <x:c r="M22" s="123"/>
      <x:c r="N22" s="123"/>
      <x:c r="O22" s="123"/>
    </x:row>
    <x:row r="23" ht="15" hidden="0" customHeight="1">
      <x:c r="A23" s="123"/>
      <x:c r="B23" s="123"/>
      <x:c r="C23" s="123"/>
      <x:c r="D23" s="123"/>
      <x:c r="E23" s="123"/>
      <x:c r="F23" s="123"/>
      <x:c r="G23" s="123"/>
      <x:c r="H23" s="123"/>
      <x:c r="I23" s="123"/>
      <x:c r="J23" s="123"/>
      <x:c r="K23" s="123"/>
      <x:c r="L23" s="123"/>
      <x:c r="M23" s="123"/>
      <x:c r="N23" s="123"/>
      <x:c r="O23" s="123"/>
    </x:row>
    <x:row r="24" ht="15" hidden="0" customHeight="1">
      <x:c r="A24" s="123"/>
      <x:c r="B24" s="123"/>
      <x:c r="C24" s="123"/>
      <x:c r="D24" s="123"/>
      <x:c r="E24" s="123"/>
      <x:c r="F24" s="123"/>
      <x:c r="G24" s="123"/>
      <x:c r="H24" s="123"/>
      <x:c r="I24" s="123"/>
      <x:c r="J24" s="123"/>
      <x:c r="K24" s="123"/>
      <x:c r="L24" s="123"/>
      <x:c r="M24" s="123"/>
      <x:c r="N24" s="123"/>
      <x:c r="O24" s="123"/>
    </x:row>
    <x:row r="25" ht="15" hidden="0" customHeight="1">
      <x:c r="A25" s="123"/>
      <x:c r="B25" s="123"/>
      <x:c r="C25" s="123"/>
      <x:c r="D25" s="123"/>
      <x:c r="E25" s="123"/>
      <x:c r="F25" s="123"/>
      <x:c r="G25" s="123"/>
      <x:c r="H25" s="123"/>
      <x:c r="I25" s="123"/>
      <x:c r="J25" s="123"/>
      <x:c r="K25" s="123"/>
      <x:c r="L25" s="123"/>
      <x:c r="M25" s="123"/>
      <x:c r="N25" s="123"/>
      <x:c r="O25" s="123"/>
    </x:row>
    <x:row r="26" ht="15" hidden="0" customHeight="1">
      <x:c r="A26" s="123"/>
      <x:c r="B26" s="123"/>
      <x:c r="C26" s="123"/>
      <x:c r="D26" s="123"/>
      <x:c r="E26" s="123"/>
      <x:c r="F26" s="123"/>
      <x:c r="G26" s="123"/>
      <x:c r="H26" s="123"/>
      <x:c r="I26" s="123"/>
      <x:c r="J26" s="123"/>
      <x:c r="K26" s="123"/>
      <x:c r="L26" s="123"/>
      <x:c r="M26" s="123"/>
      <x:c r="N26" s="123"/>
      <x:c r="O26" s="123"/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3" hidden="0" customWidth="1"/>
    <x:col min="3" max="3" width="12.75" hidden="0" customWidth="1"/>
    <x:col min="4" max="4" width="29.25" hidden="0" customWidth="1"/>
    <x:col min="5" max="5" width="41.630001068115234" hidden="0" customWidth="1"/>
    <x:col min="6" max="6" width="15" hidden="0" customWidth="1"/>
  </x:cols>
  <x:sheetData>
    <x:row r="1" ht="15" hidden="0" customHeight="1">
      <x:c r="A1" s="121" t="str">
        <x:v>04B Bridge 300K 2030</x:v>
      </x:c>
      <x:c r="B1" s="121"/>
      <x:c r="C1" s="121"/>
      <x:c r="D1" s="121"/>
      <x:c r="E1" s="121"/>
      <x:c r="F1" s="121"/>
      <x:c r="G1" s="2"/>
      <x:c r="H1" s="2"/>
    </x:row>
    <x:row r="2" ht="15" hidden="0" customHeight="1">
      <x:c r="A2" s="122" t="str">
        <x:v>Puente explicito entre plan minimo 300K y CUEVA Total 2030.</x:v>
      </x:c>
      <x:c r="B2" s="122"/>
      <x:c r="C2" s="122"/>
      <x:c r="D2" s="122"/>
      <x:c r="E2" s="122"/>
      <x:c r="F2" s="122"/>
      <x:c r="G2" s="4"/>
      <x:c r="H2" s="4"/>
    </x:row>
    <x:row r="3" ht="15" hidden="0" customHeight="1">
      <x:c r="A3" s="123"/>
      <x:c r="B3" s="123"/>
      <x:c r="C3" s="123"/>
      <x:c r="D3" s="123"/>
      <x:c r="E3" s="123"/>
      <x:c r="F3" s="123"/>
    </x:row>
    <x:row r="4" ht="15" hidden="0" customHeight="1">
      <x:c r="A4" s="124" t="str">
        <x:v>Metrica 2027</x:v>
      </x:c>
      <x:c r="B4" s="124" t="str">
        <x:v>Plan 300K</x:v>
      </x:c>
      <x:c r="C4" s="124" t="str">
        <x:v>Scale case</x:v>
      </x:c>
      <x:c r="D4" s="124" t="str">
        <x:v>Gap / lectura</x:v>
      </x:c>
      <x:c r="E4" s="124" t="str">
        <x:v>Gate para escalar</x:v>
      </x:c>
      <x:c r="F4" s="123"/>
    </x:row>
    <x:row r="5" ht="15" hidden="0" customHeight="1">
      <x:c r="A5" s="125" t="str">
        <x:v>m2 ejecutados</x:v>
      </x:c>
      <x:c r="B5" s="319" t="n">
        <x:f>'02B_Partner_Economics'!B20</x:f>
        <x:v>52000</x:v>
      </x:c>
      <x:c r="C5" s="319" t="n">
        <x:f>'01_Assumptions'!C5</x:f>
        <x:v>446000</x:v>
      </x:c>
      <x:c r="D5" s="319" t="n">
        <x:f>C5-B5</x:f>
        <x:v>394000</x:v>
      </x:c>
      <x:c r="E5" s="320" t="str">
        <x:v>Capital de expansion + contratos de red</x:v>
      </x:c>
      <x:c r="F5" s="123"/>
    </x:row>
    <x:row r="6" ht="15" hidden="0" customHeight="1">
      <x:c r="A6" s="129" t="str">
        <x:v>Revenue EUR M</x:v>
      </x:c>
      <x:c r="B6" s="286" t="n">
        <x:f>'02_Plan_300K'!C19/1000000</x:f>
        <x:v>1.67</x:v>
      </x:c>
      <x:c r="C6" s="286" t="n">
        <x:f>'06_Revenue'!C23</x:f>
        <x:v>12.722894960000001</x:v>
      </x:c>
      <x:c r="D6" s="286" t="n">
        <x:f>C6-B6</x:f>
        <x:v>11.052894960000001</x:v>
      </x:c>
      <x:c r="E6" s="321" t="str">
        <x:v>Diferenciar base obligatoria de crecimiento financiado</x:v>
      </x:c>
      <x:c r="F6" s="123"/>
    </x:row>
    <x:row r="7" ht="15" hidden="0" customHeight="1">
      <x:c r="A7" s="129" t="str">
        <x:v>EBITDA EUR M</x:v>
      </x:c>
      <x:c r="B7" s="286" t="n">
        <x:f>'02_Plan_300K'!C22/1000000</x:f>
        <x:v>0.313999</x:v>
      </x:c>
      <x:c r="C7" s="286" t="n">
        <x:f>'07_Contribution'!C19</x:f>
        <x:v>1.9093797199999987</x:v>
      </x:c>
      <x:c r="D7" s="286" t="n">
        <x:f>C7-B7</x:f>
        <x:v>1.5953807199999988</x:v>
      </x:c>
      <x:c r="E7" s="321" t="str">
        <x:v>No anticipar contratacion sin hitos</x:v>
      </x:c>
      <x:c r="F7" s="123"/>
    </x:row>
    <x:row r="8" ht="15" hidden="0" customHeight="1">
      <x:c r="A8" s="133" t="str">
        <x:v>Financiacion de expansion EUR M</x:v>
      </x:c>
      <x:c r="B8" s="288" t="n">
        <x:v>0.3</x:v>
      </x:c>
      <x:c r="C8" s="288" t="n">
        <x:f>'01_Assumptions'!C46</x:f>
        <x:v>3</x:v>
      </x:c>
      <x:c r="D8" s="288" t="n">
        <x:f>C8-B8</x:f>
        <x:v>2.7</x:v>
      </x:c>
      <x:c r="E8" s="322" t="str">
        <x:v>Ronda posterior al plan minimo</x:v>
      </x:c>
      <x:c r="F8" s="123"/>
    </x:row>
    <x:row r="9" ht="15" hidden="0" customHeight="1">
      <x:c r="A9" s="123"/>
      <x:c r="B9" s="123"/>
      <x:c r="C9" s="123"/>
      <x:c r="D9" s="123"/>
      <x:c r="E9" s="123"/>
      <x:c r="F9" s="123"/>
    </x:row>
    <x:row r="10" ht="15" hidden="0" customHeight="1">
      <x:c r="A10" s="123"/>
      <x:c r="B10" s="123"/>
      <x:c r="C10" s="123"/>
      <x:c r="D10" s="123"/>
      <x:c r="E10" s="123"/>
      <x:c r="F10" s="123"/>
    </x:row>
    <x:row r="11" ht="15" hidden="0" customHeight="1">
      <x:c r="A11" s="123"/>
      <x:c r="B11" s="123"/>
      <x:c r="C11" s="123"/>
      <x:c r="D11" s="123"/>
      <x:c r="E11" s="123"/>
      <x:c r="F11" s="123"/>
    </x:row>
    <x:row r="12" ht="15" hidden="0" customHeight="1">
      <x:c r="A12" s="124" t="str">
        <x:v>Bridge ingresos 2027 V7 -&gt; V8</x:v>
      </x:c>
      <x:c r="B12" s="124" t="str">
        <x:v>Movimiento EUR</x:v>
      </x:c>
      <x:c r="C12" s="124" t="str">
        <x:v>Acumulado EUR</x:v>
      </x:c>
      <x:c r="D12" s="124" t="str">
        <x:v>Racional</x:v>
      </x:c>
      <x:c r="E12" s="123"/>
      <x:c r="F12" s="123"/>
    </x:row>
    <x:row r="13" ht="15" hidden="0" customHeight="1">
      <x:c r="A13" s="123" t="str">
        <x:v>V7 plan 2027</x:v>
      </x:c>
      <x:c r="B13" s="266" t="n">
        <x:f>2155000</x:f>
        <x:v>2155000</x:v>
      </x:c>
      <x:c r="C13" s="266" t="n">
        <x:f>B13</x:f>
        <x:v>2155000</x:v>
      </x:c>
      <x:c r="D13" s="123" t="str">
        <x:v>Referencia audit-ready anterior</x:v>
      </x:c>
      <x:c r="E13" s="123"/>
      <x:c r="F13" s="123"/>
    </x:row>
    <x:row r="14" ht="15" hidden="0" customHeight="1">
      <x:c r="A14" s="123" t="str">
        <x:v>Eliminar KIWA/RMOOB duplicado</x:v>
      </x:c>
      <x:c r="B14" s="266" t="n">
        <x:f>-850000</x:f>
        <x:v>-850000</x:v>
      </x:c>
      <x:c r="C14" s="266" t="n">
        <x:f>C13+B14</x:f>
        <x:v>1305000</x:v>
      </x:c>
      <x:c r="D14" s="123" t="str">
        <x:v>Se conserva un unico proyecto de 400k</x:v>
      </x:c>
      <x:c r="E14" s="123"/>
      <x:c r="F14" s="123"/>
    </x:row>
    <x:row r="15" ht="15" hidden="0" customHeight="1">
      <x:c r="A15" s="123" t="str">
        <x:v>Reprecificar implantacion fabricante</x:v>
      </x:c>
      <x:c r="B15" s="266" t="n">
        <x:f>'02B_Partner_Economics'!C18-180000</x:f>
        <x:v>70000</x:v>
      </x:c>
      <x:c r="C15" s="266" t="n">
        <x:f>C14+B15</x:f>
        <x:v>1375000</x:v>
      </x:c>
      <x:c r="D15" s="123" t="str">
        <x:v>180k legacy pasa a tier por m2 de planta</x:v>
      </x:c>
      <x:c r="E15" s="123"/>
      <x:c r="F15" s="123"/>
    </x:row>
    <x:row r="16" ht="15" hidden="0" customHeight="1">
      <x:c r="A16" s="123" t="str">
        <x:v>Añadir digitalizacion montador</x:v>
      </x:c>
      <x:c r="B16" s="266" t="n">
        <x:f>'02B_Partner_Economics'!C19</x:f>
        <x:v>35000</x:v>
      </x:c>
      <x:c r="C16" s="266" t="n">
        <x:f>C15+B16</x:f>
        <x:v>1410000</x:v>
      </x:c>
      <x:c r="D16" s="123" t="str">
        <x:v>Precio por numero de cuadrillas</x:v>
      </x:c>
      <x:c r="E16" s="123"/>
      <x:c r="F16" s="123"/>
    </x:row>
    <x:row r="17" ht="15" hidden="0" customHeight="1">
      <x:c r="A17" s="123" t="str">
        <x:v>Añadir fees fabricante + montaje</x:v>
      </x:c>
      <x:c r="B17" s="266" t="n">
        <x:f>'02B_Partner_Economics'!B20*'02B_Partner_Economics'!B23</x:f>
        <x:v>260000</x:v>
      </x:c>
      <x:c r="C17" s="266" t="n">
        <x:f>C16+B17</x:f>
        <x:v>1670000</x:v>
      </x:c>
      <x:c r="D17" s="123" t="str">
        <x:v>52k m2 x 5,00 EUR/m2 combinados</x:v>
      </x:c>
      <x:c r="E17" s="123"/>
      <x:c r="F17" s="123"/>
    </x:row>
    <x:row r="18" ht="15" hidden="0" customHeight="1">
      <x:c r="A18" s="271" t="str">
        <x:v>V8 management case 2027</x:v>
      </x:c>
      <x:c r="B18" s="310" t="str"/>
      <x:c r="C18" s="310" t="n">
        <x:f>C17</x:f>
        <x:v>1670000</x:v>
      </x:c>
      <x:c r="D18" s="274" t="str">
        <x:v>Debe reconciliar con 02_Plan_300K</x:v>
      </x:c>
      <x:c r="E18" s="123"/>
      <x:c r="F18" s="123"/>
    </x:row>
    <x:row r="19" ht="15" hidden="0" customHeight="1">
      <x:c r="A19" s="123" t="str">
        <x:v>Check vs modelo vivo</x:v>
      </x:c>
      <x:c r="B19" s="266" t="n">
        <x:f>C18-'02_Plan_300K'!C19</x:f>
        <x:v>0</x:v>
      </x:c>
      <x:c r="C19" s="266" t="str"/>
      <x:c r="D19" s="123" t="str"/>
      <x:c r="E19" s="123"/>
      <x:c r="F19" s="123"/>
    </x:row>
    <x:row r="20" ht="15" hidden="0" customHeight="1">
      <x:c r="A20" s="123"/>
      <x:c r="B20" s="266"/>
      <x:c r="C20" s="266"/>
      <x:c r="D20" s="123"/>
      <x:c r="E20" s="123"/>
      <x:c r="F20" s="123"/>
    </x:row>
    <x:row r="21" ht="15" hidden="0" customHeight="1">
      <x:c r="A21" s="123"/>
      <x:c r="B21" s="123"/>
      <x:c r="C21" s="123"/>
      <x:c r="D21" s="123"/>
      <x:c r="E21" s="123"/>
      <x:c r="F21" s="123"/>
    </x:row>
    <x:row r="22" ht="15" hidden="0" customHeight="1">
      <x:c r="A22" s="123"/>
      <x:c r="B22" s="123"/>
      <x:c r="C22" s="123"/>
      <x:c r="D22" s="123"/>
      <x:c r="E22" s="123"/>
      <x:c r="F22" s="123"/>
    </x:row>
    <x:row r="23" ht="15" hidden="0" customHeight="1">
      <x:c r="A23" s="123"/>
      <x:c r="B23" s="123"/>
      <x:c r="C23" s="123"/>
      <x:c r="D23" s="123"/>
      <x:c r="E23" s="123"/>
      <x:c r="F23" s="123"/>
    </x:row>
    <x:row r="24" ht="15" hidden="0" customHeight="1">
      <x:c r="A24" s="123"/>
      <x:c r="B24" s="123"/>
      <x:c r="C24" s="123"/>
      <x:c r="D24" s="123"/>
      <x:c r="E24" s="123"/>
      <x:c r="F24" s="123"/>
    </x:row>
    <x:row r="25" ht="15" hidden="0" customHeight="1">
      <x:c r="A25" s="123"/>
      <x:c r="B25" s="123"/>
      <x:c r="C25" s="123"/>
      <x:c r="D25" s="123"/>
      <x:c r="E25" s="123"/>
      <x:c r="F25" s="123"/>
    </x:row>
    <x:row r="26" ht="15" hidden="0" customHeight="1">
      <x:c r="A26" s="123"/>
      <x:c r="B26" s="123"/>
      <x:c r="C26" s="123"/>
      <x:c r="D26" s="123"/>
      <x:c r="E26" s="123"/>
      <x:c r="F26" s="123"/>
    </x:row>
    <x:row r="27" ht="15" hidden="0" customHeight="1">
      <x:c r="A27" s="123"/>
      <x:c r="B27" s="123"/>
      <x:c r="C27" s="123"/>
      <x:c r="D27" s="123"/>
      <x:c r="E27" s="123"/>
      <x:c r="F27" s="123"/>
    </x:row>
    <x:row r="28" ht="15" hidden="0" customHeight="1">
      <x:c r="A28" s="123"/>
      <x:c r="B28" s="123"/>
      <x:c r="C28" s="123"/>
      <x:c r="D28" s="123"/>
      <x:c r="E28" s="123"/>
      <x:c r="F28" s="123"/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1.630001068115234" hidden="0" customWidth="1"/>
    <x:col min="2" max="2" width="6.380000114440918" hidden="0" customWidth="1"/>
    <x:col min="3" max="3" width="6.380000114440918" hidden="0" customWidth="1"/>
    <x:col min="4" max="4" width="7.75" hidden="0" customWidth="1"/>
    <x:col min="5" max="5" width="7.75" hidden="0" customWidth="1"/>
    <x:col min="6" max="6" width="7.75" hidden="0" customWidth="1"/>
    <x:col min="7" max="7" width="15" hidden="0" customWidth="1"/>
  </x:cols>
  <x:sheetData>
    <x:row r="1" ht="15" hidden="0" customHeight="1">
      <x:c r="A1" s="121" t="str">
        <x:v>05 m2 Stock</x:v>
      </x:c>
      <x:c r="B1" s="121"/>
      <x:c r="C1" s="121"/>
      <x:c r="D1" s="121"/>
      <x:c r="E1" s="121"/>
      <x:c r="F1" s="121"/>
      <x:c r="G1" s="121"/>
      <x:c r="H1" s="2"/>
    </x:row>
    <x:row r="2" ht="15" hidden="0" customHeight="1">
      <x:c r="A2" s="122" t="str">
        <x:v>Motor volumetrico del plan: m2 emitidos, stock vivo y red.</x:v>
      </x:c>
      <x:c r="B2" s="122"/>
      <x:c r="C2" s="122"/>
      <x:c r="D2" s="122"/>
      <x:c r="E2" s="122"/>
      <x:c r="F2" s="122"/>
      <x:c r="G2" s="122"/>
      <x:c r="H2" s="4"/>
    </x:row>
    <x:row r="3" ht="15" hidden="0" customHeight="1">
      <x:c r="A3" s="123"/>
      <x:c r="B3" s="123"/>
      <x:c r="C3" s="123"/>
      <x:c r="D3" s="123"/>
      <x:c r="E3" s="123"/>
      <x:c r="F3" s="123"/>
      <x:c r="G3" s="123"/>
    </x:row>
    <x:row r="4" ht="15" hidden="0" customHeight="1">
      <x:c r="A4" s="124" t="str">
        <x:v>Concepto</x:v>
      </x:c>
      <x:c r="B4" s="124" t="n">
        <x:v>2026</x:v>
      </x:c>
      <x:c r="C4" s="124" t="n">
        <x:v>2027</x:v>
      </x:c>
      <x:c r="D4" s="124" t="n">
        <x:v>2028</x:v>
      </x:c>
      <x:c r="E4" s="124" t="n">
        <x:v>2029</x:v>
      </x:c>
      <x:c r="F4" s="124" t="n">
        <x:v>2030</x:v>
      </x:c>
      <x:c r="G4" s="123"/>
    </x:row>
    <x:row r="5" ht="15" hidden="0" customHeight="1">
      <x:c r="A5" s="123" t="str">
        <x:v>Fabricantes activos</x:v>
      </x:c>
      <x:c r="B5" s="266" t="n">
        <x:f>'02B_Partner_Economics'!B32</x:f>
        <x:v>1</x:v>
      </x:c>
      <x:c r="C5" s="266" t="n">
        <x:f>'02B_Partner_Economics'!C32</x:f>
        <x:v>3</x:v>
      </x:c>
      <x:c r="D5" s="266" t="n">
        <x:f>'02B_Partner_Economics'!D32</x:f>
        <x:v>5</x:v>
      </x:c>
      <x:c r="E5" s="266" t="n">
        <x:f>'02B_Partner_Economics'!E32</x:f>
        <x:v>8</x:v>
      </x:c>
      <x:c r="F5" s="266" t="n">
        <x:f>'02B_Partner_Economics'!F32</x:f>
        <x:v>11</x:v>
      </x:c>
      <x:c r="G5" s="123"/>
    </x:row>
    <x:row r="6" ht="15" hidden="0" customHeight="1">
      <x:c r="A6" s="123" t="str">
        <x:v>Montadores activos</x:v>
      </x:c>
      <x:c r="B6" s="266" t="n">
        <x:f>'02B_Partner_Economics'!B39</x:f>
        <x:v>1</x:v>
      </x:c>
      <x:c r="C6" s="266" t="n">
        <x:f>'02B_Partner_Economics'!C39</x:f>
        <x:v>2</x:v>
      </x:c>
      <x:c r="D6" s="266" t="n">
        <x:f>'02B_Partner_Economics'!D39</x:f>
        <x:v>6</x:v>
      </x:c>
      <x:c r="E6" s="266" t="n">
        <x:f>'02B_Partner_Economics'!E39</x:f>
        <x:v>9</x:v>
      </x:c>
      <x:c r="F6" s="266" t="n">
        <x:f>'02B_Partner_Economics'!F39</x:f>
        <x:v>12</x:v>
      </x:c>
      <x:c r="G6" s="123"/>
    </x:row>
    <x:row r="7" ht="15" hidden="0" customHeight="1">
      <x:c r="A7" s="123" t="str">
        <x:v>Partners activos total</x:v>
      </x:c>
      <x:c r="B7" s="266" t="n">
        <x:f>'02B_Partner_Economics'!B42</x:f>
        <x:v>2</x:v>
      </x:c>
      <x:c r="C7" s="266" t="n">
        <x:f>'02B_Partner_Economics'!C42</x:f>
        <x:v>5</x:v>
      </x:c>
      <x:c r="D7" s="266" t="n">
        <x:f>'02B_Partner_Economics'!D42</x:f>
        <x:v>11</x:v>
      </x:c>
      <x:c r="E7" s="266" t="n">
        <x:f>'02B_Partner_Economics'!E42</x:f>
        <x:v>17</x:v>
      </x:c>
      <x:c r="F7" s="266" t="n">
        <x:f>'02B_Partner_Economics'!F42</x:f>
        <x:v>23</x:v>
      </x:c>
      <x:c r="G7" s="123"/>
    </x:row>
    <x:row r="8" ht="15" hidden="0" customHeight="1">
      <x:c r="A8" s="123" t="str">
        <x:v>m2 emitidos anuales</x:v>
      </x:c>
      <x:c r="B8" s="266" t="n">
        <x:f>'01_Assumptions'!B5</x:f>
        <x:v>140000</x:v>
      </x:c>
      <x:c r="C8" s="266" t="n">
        <x:f>'01_Assumptions'!C5</x:f>
        <x:v>446000</x:v>
      </x:c>
      <x:c r="D8" s="266" t="n">
        <x:f>'01_Assumptions'!D5</x:f>
        <x:v>1065000</x:v>
      </x:c>
      <x:c r="E8" s="266" t="n">
        <x:f>'01_Assumptions'!E5</x:f>
        <x:v>1920000</x:v>
      </x:c>
      <x:c r="F8" s="266" t="n">
        <x:f>'01_Assumptions'!F5</x:f>
        <x:v>2940000</x:v>
      </x:c>
      <x:c r="G8" s="123"/>
    </x:row>
    <x:row r="9" ht="15" hidden="0" customHeight="1">
      <x:c r="A9" s="123" t="str">
        <x:v>Stock vivo final</x:v>
      </x:c>
      <x:c r="B9" s="266" t="n">
        <x:f>'01_Assumptions'!B6</x:f>
        <x:v>140000</x:v>
      </x:c>
      <x:c r="C9" s="266" t="n">
        <x:f>'01_Assumptions'!C6</x:f>
        <x:v>586000</x:v>
      </x:c>
      <x:c r="D9" s="266" t="n">
        <x:f>'01_Assumptions'!D6</x:f>
        <x:v>1651000</x:v>
      </x:c>
      <x:c r="E9" s="266" t="n">
        <x:f>'01_Assumptions'!E6</x:f>
        <x:v>3570000</x:v>
      </x:c>
      <x:c r="F9" s="266" t="n">
        <x:f>'01_Assumptions'!F6</x:f>
        <x:v>6511000</x:v>
      </x:c>
      <x:c r="G9" s="123"/>
    </x:row>
    <x:row r="10" ht="15" hidden="0" customHeight="1">
      <x:c r="A10" s="123" t="str">
        <x:v>m2 emitidos por partner</x:v>
      </x:c>
      <x:c r="B10" s="266" t="n">
        <x:f>IF(B7=0,0,B8/B7)</x:f>
        <x:v>70000</x:v>
      </x:c>
      <x:c r="C10" s="266" t="n">
        <x:f>IF(C7=0,0,C8/C7)</x:f>
        <x:v>89200</x:v>
      </x:c>
      <x:c r="D10" s="266" t="n">
        <x:f>IF(D7=0,0,D8/D7)</x:f>
        <x:v>96818.18181818182</x:v>
      </x:c>
      <x:c r="E10" s="266" t="n">
        <x:f>IF(E7=0,0,E8/E7)</x:f>
        <x:v>112941.17647058824</x:v>
      </x:c>
      <x:c r="F10" s="266" t="n">
        <x:f>IF(F7=0,0,F8/F7)</x:f>
        <x:v>127826.08695652174</x:v>
      </x:c>
      <x:c r="G10" s="123"/>
    </x:row>
    <x:row r="11" ht="15" hidden="0" customHeight="1">
      <x:c r="A11" s="123" t="str">
        <x:v>m2 montaje verificados</x:v>
      </x:c>
      <x:c r="B11" s="266" t="n">
        <x:f>B8*'02B_Partner_Economics'!B49</x:f>
        <x:v>105000</x:v>
      </x:c>
      <x:c r="C11" s="266" t="n">
        <x:f>C8*'02B_Partner_Economics'!C49</x:f>
        <x:v>379100</x:v>
      </x:c>
      <x:c r="D11" s="266" t="n">
        <x:f>D8*'02B_Partner_Economics'!D49</x:f>
        <x:v>958500</x:v>
      </x:c>
      <x:c r="E11" s="266" t="n">
        <x:f>E8*'02B_Partner_Economics'!E49</x:f>
        <x:v>1785600</x:v>
      </x:c>
      <x:c r="F11" s="266" t="n">
        <x:f>F8*'02B_Partner_Economics'!F49</x:f>
        <x:v>2793000</x:v>
      </x:c>
      <x:c r="G11" s="123"/>
    </x:row>
    <x:row r="12" ht="15" hidden="0" customHeight="1">
      <x:c r="A12" s="123" t="str">
        <x:v>Stock vivo / m2 emitidos</x:v>
      </x:c>
      <x:c r="B12" s="325" t="n">
        <x:f>IF(B8=0,0,B9/B8)</x:f>
        <x:v>1</x:v>
      </x:c>
      <x:c r="C12" s="325" t="n">
        <x:f>IF(C8=0,0,C9/C8)</x:f>
        <x:v>1.3139013452914798</x:v>
      </x:c>
      <x:c r="D12" s="325" t="n">
        <x:f>IF(D8=0,0,D9/D8)</x:f>
        <x:v>1.5502347417840376</x:v>
      </x:c>
      <x:c r="E12" s="325" t="n">
        <x:f>IF(E8=0,0,E9/E8)</x:f>
        <x:v>1.859375</x:v>
      </x:c>
      <x:c r="F12" s="325" t="n">
        <x:f>IF(F8=0,0,F9/F8)</x:f>
        <x:v>2.214625850340136</x:v>
      </x:c>
      <x:c r="G12" s="123"/>
    </x:row>
    <x:row r="13" ht="15" hidden="0" customHeight="1">
      <x:c r="A13" s="123"/>
      <x:c r="B13" s="123"/>
      <x:c r="C13" s="123"/>
      <x:c r="D13" s="123"/>
      <x:c r="E13" s="123"/>
      <x:c r="F13" s="123"/>
      <x:c r="G13" s="123"/>
    </x:row>
    <x:row r="14" ht="15" hidden="0" customHeight="1">
      <x:c r="A14" s="123"/>
      <x:c r="B14" s="123"/>
      <x:c r="C14" s="123"/>
      <x:c r="D14" s="123"/>
      <x:c r="E14" s="123"/>
      <x:c r="F14" s="123"/>
      <x:c r="G14" s="123"/>
    </x:row>
    <x:row r="15" ht="15" hidden="0" customHeight="1">
      <x:c r="A15" s="123"/>
      <x:c r="B15" s="123"/>
      <x:c r="C15" s="123"/>
      <x:c r="D15" s="123"/>
      <x:c r="E15" s="123"/>
      <x:c r="F15" s="123"/>
      <x:c r="G15" s="123"/>
    </x:row>
    <x:row r="16" ht="15" hidden="0" customHeight="1">
      <x:c r="A16" s="123"/>
      <x:c r="B16" s="123"/>
      <x:c r="C16" s="123"/>
      <x:c r="D16" s="123"/>
      <x:c r="E16" s="123"/>
      <x:c r="F16" s="123"/>
      <x:c r="G16" s="123"/>
    </x:row>
    <x:row r="17" ht="15" hidden="0" customHeight="1">
      <x:c r="A17" s="123"/>
      <x:c r="B17" s="123"/>
      <x:c r="C17" s="123"/>
      <x:c r="D17" s="123"/>
      <x:c r="E17" s="123"/>
      <x:c r="F17" s="123"/>
      <x:c r="G17" s="123"/>
    </x:row>
    <x:row r="18" ht="15" hidden="0" customHeight="1">
      <x:c r="A18" s="123"/>
      <x:c r="B18" s="123"/>
      <x:c r="C18" s="123"/>
      <x:c r="D18" s="123"/>
      <x:c r="E18" s="123"/>
      <x:c r="F18" s="123"/>
      <x:c r="G18" s="123"/>
    </x:row>
    <x:row r="19" ht="15" hidden="0" customHeight="1">
      <x:c r="A19" s="123"/>
      <x:c r="B19" s="123"/>
      <x:c r="C19" s="123"/>
      <x:c r="D19" s="123"/>
      <x:c r="E19" s="123"/>
      <x:c r="F19" s="123"/>
      <x:c r="G19" s="123"/>
    </x:row>
    <x:row r="20" ht="15" hidden="0" customHeight="1">
      <x:c r="A20" s="123"/>
      <x:c r="B20" s="123"/>
      <x:c r="C20" s="123"/>
      <x:c r="D20" s="123"/>
      <x:c r="E20" s="123"/>
      <x:c r="F20" s="123"/>
      <x:c r="G20" s="123"/>
    </x:row>
    <x:row r="21" ht="15" hidden="0" customHeight="1">
      <x:c r="A21" s="123"/>
      <x:c r="B21" s="123"/>
      <x:c r="C21" s="123"/>
      <x:c r="D21" s="123"/>
      <x:c r="E21" s="123"/>
      <x:c r="F21" s="123"/>
      <x:c r="G21" s="123"/>
    </x:row>
    <x:row r="22" ht="15" hidden="0" customHeight="1">
      <x:c r="A22" s="123"/>
      <x:c r="B22" s="123"/>
      <x:c r="C22" s="123"/>
      <x:c r="D22" s="123"/>
      <x:c r="E22" s="123"/>
      <x:c r="F22" s="123"/>
      <x:c r="G22" s="123"/>
    </x:row>
    <x:row r="23" ht="15" hidden="0" customHeight="1">
      <x:c r="A23" s="123"/>
      <x:c r="B23" s="123"/>
      <x:c r="C23" s="123"/>
      <x:c r="D23" s="123"/>
      <x:c r="E23" s="123"/>
      <x:c r="F23" s="123"/>
      <x:c r="G23" s="123"/>
    </x:row>
    <x:row r="24" ht="15" hidden="0" customHeight="1">
      <x:c r="A24" s="123"/>
      <x:c r="B24" s="123"/>
      <x:c r="C24" s="123"/>
      <x:c r="D24" s="123"/>
      <x:c r="E24" s="123"/>
      <x:c r="F24" s="123"/>
      <x:c r="G24" s="123"/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8.25" hidden="0" customWidth="1"/>
    <x:col min="2" max="2" width="4.130000114440918" hidden="0" customWidth="1"/>
    <x:col min="3" max="3" width="4.130000114440918" hidden="0" customWidth="1"/>
    <x:col min="4" max="4" width="4.130000114440918" hidden="0" customWidth="1"/>
    <x:col min="5" max="5" width="4.130000114440918" hidden="0" customWidth="1"/>
    <x:col min="6" max="6" width="4.630000114440918" hidden="0" customWidth="1"/>
    <x:col min="7" max="7" width="15" hidden="0" customWidth="1"/>
  </x:cols>
  <x:sheetData>
    <x:row r="1" ht="15" hidden="0" customHeight="1">
      <x:c r="A1" s="121" t="str">
        <x:v>06 Revenue</x:v>
      </x:c>
      <x:c r="B1" s="121"/>
      <x:c r="C1" s="121"/>
      <x:c r="D1" s="121"/>
      <x:c r="E1" s="121"/>
      <x:c r="F1" s="121"/>
      <x:c r="G1" s="121"/>
      <x:c r="H1" s="2"/>
    </x:row>
    <x:row r="2" ht="15" hidden="0" customHeight="1">
      <x:c r="A2" s="122" t="str">
        <x:v>Ingresos por linea. EUR M. Digitalizacion inicial, uso por m2, evidencia, recurrencia y verticales.</x:v>
      </x:c>
      <x:c r="B2" s="122"/>
      <x:c r="C2" s="122"/>
      <x:c r="D2" s="122"/>
      <x:c r="E2" s="122"/>
      <x:c r="F2" s="122"/>
      <x:c r="G2" s="122"/>
      <x:c r="H2" s="4"/>
    </x:row>
    <x:row r="3" ht="15" hidden="0" customHeight="1">
      <x:c r="A3" s="123"/>
      <x:c r="B3" s="123"/>
      <x:c r="C3" s="123"/>
      <x:c r="D3" s="123"/>
      <x:c r="E3" s="123"/>
      <x:c r="F3" s="123"/>
      <x:c r="G3" s="123"/>
    </x:row>
    <x:row r="4" ht="15" hidden="0" customHeight="1">
      <x:c r="A4" s="124" t="str">
        <x:v>Concepto</x:v>
      </x:c>
      <x:c r="B4" s="124" t="n">
        <x:v>2026</x:v>
      </x:c>
      <x:c r="C4" s="124" t="n">
        <x:v>2027</x:v>
      </x:c>
      <x:c r="D4" s="124" t="n">
        <x:v>2028</x:v>
      </x:c>
      <x:c r="E4" s="124" t="n">
        <x:v>2029</x:v>
      </x:c>
      <x:c r="F4" s="124" t="n">
        <x:v>2030</x:v>
      </x:c>
      <x:c r="G4" s="123"/>
    </x:row>
    <x:row r="5" ht="15" hidden="0" customHeight="1">
      <x:c r="A5" s="123" t="str">
        <x:v>Digitalizacion fabricante</x:v>
      </x:c>
      <x:c r="B5" s="332" t="n">
        <x:f>'02B_Partner_Economics'!B33</x:f>
        <x:v>0.05</x:v>
      </x:c>
      <x:c r="C5" s="332" t="n">
        <x:f>'02B_Partner_Economics'!C33</x:f>
        <x:v>0.17</x:v>
      </x:c>
      <x:c r="D5" s="332" t="n">
        <x:f>'02B_Partner_Economics'!D33</x:f>
        <x:v>0.37</x:v>
      </x:c>
      <x:c r="E5" s="332" t="n">
        <x:f>'02B_Partner_Economics'!E33</x:f>
        <x:v>0.7</x:v>
      </x:c>
      <x:c r="F5" s="332" t="n">
        <x:f>'02B_Partner_Economics'!F33</x:f>
        <x:v>0.9</x:v>
      </x:c>
      <x:c r="G5" s="123"/>
    </x:row>
    <x:row r="6" ht="15" hidden="0" customHeight="1">
      <x:c r="A6" s="123" t="str">
        <x:v>Digitalizacion montaje</x:v>
      </x:c>
      <x:c r="B6" s="332" t="n">
        <x:f>'02B_Partner_Economics'!B40</x:f>
        <x:v>0.035</x:v>
      </x:c>
      <x:c r="C6" s="332" t="n">
        <x:f>'02B_Partner_Economics'!C40</x:f>
        <x:v>0.075</x:v>
      </x:c>
      <x:c r="D6" s="332" t="n">
        <x:f>'02B_Partner_Economics'!D40</x:f>
        <x:v>0.241</x:v>
      </x:c>
      <x:c r="E6" s="332" t="n">
        <x:f>'02B_Partner_Economics'!E40</x:f>
        <x:v>0.23</x:v>
      </x:c>
      <x:c r="F6" s="332" t="n">
        <x:f>'02B_Partner_Economics'!F40</x:f>
        <x:v>0.254</x:v>
      </x:c>
      <x:c r="G6" s="123"/>
    </x:row>
    <x:row r="7" ht="15" hidden="0" customHeight="1">
      <x:c r="A7" s="123" t="str">
        <x:v>Fee de Red Fabricante</x:v>
      </x:c>
      <x:c r="B7" s="332" t="n">
        <x:f>'02B_Partner_Economics'!B51</x:f>
        <x:v>0.35</x:v>
      </x:c>
      <x:c r="C7" s="332" t="n">
        <x:f>'02B_Partner_Economics'!C51</x:f>
        <x:v>1.115</x:v>
      </x:c>
      <x:c r="D7" s="332" t="n">
        <x:f>'02B_Partner_Economics'!D51</x:f>
        <x:v>2.6625</x:v>
      </x:c>
      <x:c r="E7" s="332" t="n">
        <x:f>'02B_Partner_Economics'!E51</x:f>
        <x:v>4.8</x:v>
      </x:c>
      <x:c r="F7" s="332" t="n">
        <x:f>'02B_Partner_Economics'!F51</x:f>
        <x:v>7.35</x:v>
      </x:c>
      <x:c r="G7" s="123"/>
    </x:row>
    <x:row r="8" ht="15" hidden="0" customHeight="1">
      <x:c r="A8" s="123" t="str">
        <x:v>Fee de Red Montaje</x:v>
      </x:c>
      <x:c r="B8" s="332" t="n">
        <x:f>'02B_Partner_Economics'!B52</x:f>
        <x:v>0.2625</x:v>
      </x:c>
      <x:c r="C8" s="332" t="n">
        <x:f>'02B_Partner_Economics'!C52</x:f>
        <x:v>0.94775</x:v>
      </x:c>
      <x:c r="D8" s="332" t="n">
        <x:f>'02B_Partner_Economics'!D52</x:f>
        <x:v>2.39625</x:v>
      </x:c>
      <x:c r="E8" s="332" t="n">
        <x:f>'02B_Partner_Economics'!E52</x:f>
        <x:v>4.464</x:v>
      </x:c>
      <x:c r="F8" s="332" t="n">
        <x:f>'02B_Partner_Economics'!F52</x:f>
        <x:v>6.9825</x:v>
      </x:c>
      <x:c r="G8" s="123"/>
    </x:row>
    <x:row r="9" ht="15" hidden="0" customHeight="1">
      <x:c r="A9" s="123" t="str">
        <x:v>Designer</x:v>
      </x:c>
      <x:c r="B9" s="332" t="n">
        <x:f>'01_Assumptions'!B5*'01_Assumptions'!B8*'01_Assumptions'!B9/1000000</x:f>
        <x:v>0.273</x:v>
      </x:c>
      <x:c r="C9" s="332" t="n">
        <x:f>'01_Assumptions'!C5*'01_Assumptions'!C8*'01_Assumptions'!C9/1000000</x:f>
        <x:v>0.96336</x:v>
      </x:c>
      <x:c r="D9" s="332" t="n">
        <x:f>'01_Assumptions'!D5*'01_Assumptions'!D8*'01_Assumptions'!D9/1000000</x:f>
        <x:v>2.65824</x:v>
      </x:c>
      <x:c r="E9" s="332" t="n">
        <x:f>'01_Assumptions'!E5*'01_Assumptions'!E8*'01_Assumptions'!E9/1000000</x:f>
        <x:v>5.19552</x:v>
      </x:c>
      <x:c r="F9" s="332" t="n">
        <x:f>'01_Assumptions'!F5*'01_Assumptions'!F8*'01_Assumptions'!F9/1000000</x:f>
        <x:v>8.8494</x:v>
      </x:c>
      <x:c r="G9" s="123"/>
    </x:row>
    <x:row r="10" ht="15" hidden="0" customHeight="1">
      <x:c r="A10" s="123" t="str">
        <x:v>Manager</x:v>
      </x:c>
      <x:c r="B10" s="332" t="n">
        <x:f>'01_Assumptions'!B5*'01_Assumptions'!B10*'01_Assumptions'!B11/1000000</x:f>
        <x:v>0.2625</x:v>
      </x:c>
      <x:c r="C10" s="332" t="n">
        <x:f>'01_Assumptions'!C5*'01_Assumptions'!C10*'01_Assumptions'!C11/1000000</x:f>
        <x:v>0.950872</x:v>
      </x:c>
      <x:c r="D10" s="332" t="n">
        <x:f>'01_Assumptions'!D5*'01_Assumptions'!D10*'01_Assumptions'!D11/1000000</x:f>
        <x:v>2.53044</x:v>
      </x:c>
      <x:c r="E10" s="332" t="n">
        <x:f>'01_Assumptions'!E5*'01_Assumptions'!E10*'01_Assumptions'!E11/1000000</x:f>
        <x:v>4.94592</x:v>
      </x:c>
      <x:c r="F10" s="332" t="n">
        <x:f>'01_Assumptions'!F5*'01_Assumptions'!F10*'01_Assumptions'!F11/1000000</x:f>
        <x:v>8.379</x:v>
      </x:c>
      <x:c r="G10" s="123"/>
    </x:row>
    <x:row r="11" ht="15" hidden="0" customHeight="1">
      <x:c r="A11" s="123" t="str">
        <x:v>Asset Activation</x:v>
      </x:c>
      <x:c r="B11" s="332" t="n">
        <x:f>'01_Assumptions'!B5*'01_Assumptions'!B13*'01_Assumptions'!B14/1000000</x:f>
        <x:v>0.4018</x:v>
      </x:c>
      <x:c r="C11" s="332" t="n">
        <x:f>'01_Assumptions'!C5*'01_Assumptions'!C13*'01_Assumptions'!C14/1000000</x:f>
        <x:v>1.9624</x:v>
      </x:c>
      <x:c r="D11" s="332" t="n">
        <x:f>'01_Assumptions'!D5*'01_Assumptions'!D13*'01_Assumptions'!D14/1000000</x:f>
        <x:v>6.576375</x:v>
      </x:c>
      <x:c r="E11" s="332" t="n">
        <x:f>'01_Assumptions'!E5*'01_Assumptions'!E13*'01_Assumptions'!E14/1000000</x:f>
        <x:v>12.8064</x:v>
      </x:c>
      <x:c r="F11" s="332" t="n">
        <x:f>'01_Assumptions'!F5*'01_Assumptions'!F13*'01_Assumptions'!F14/1000000</x:f>
        <x:v>23.52</x:v>
      </x:c>
      <x:c r="G11" s="123"/>
    </x:row>
    <x:row r="12" ht="15" hidden="0" customHeight="1">
      <x:c r="A12" s="123" t="str">
        <x:v>POI Evidence Pack</x:v>
      </x:c>
      <x:c r="B12" s="332" t="n">
        <x:f>'01_Assumptions'!B5*'01_Assumptions'!B15*(1+'01_Assumptions'!B16)*'01_Assumptions'!B17/1000000</x:f>
        <x:v>0.29302</x:v>
      </x:c>
      <x:c r="C12" s="332" t="n">
        <x:f>'01_Assumptions'!C5*'01_Assumptions'!C15*(1+'01_Assumptions'!C16)*'01_Assumptions'!C17/1000000</x:f>
        <x:v>1.4193504000000001</x:v>
      </x:c>
      <x:c r="D12" s="332" t="n">
        <x:f>'01_Assumptions'!D5*'01_Assumptions'!D15*(1+'01_Assumptions'!D16)*'01_Assumptions'!D17/1000000</x:f>
        <x:v>4.9123125</x:v>
      </x:c>
      <x:c r="E12" s="332" t="n">
        <x:f>'01_Assumptions'!E5*'01_Assumptions'!E15*(1+'01_Assumptions'!E16)*'01_Assumptions'!E17/1000000</x:f>
        <x:v>10.5984</x:v>
      </x:c>
      <x:c r="F12" s="332" t="n">
        <x:f>'01_Assumptions'!F5*'01_Assumptions'!F15*(1+'01_Assumptions'!F16)*'01_Assumptions'!F17/1000000</x:f>
        <x:v>19.201875</x:v>
      </x:c>
      <x:c r="G12" s="123"/>
    </x:row>
    <x:row r="13" ht="15" hidden="0" customHeight="1">
      <x:c r="A13" s="123" t="str">
        <x:v>DPP / Carpeta Madre</x:v>
      </x:c>
      <x:c r="B13" s="332" t="n">
        <x:f>'01_Assumptions'!B5*'01_Assumptions'!B18*(1+'01_Assumptions'!B19)*'01_Assumptions'!B20/1000000</x:f>
        <x:v>0.2695</x:v>
      </x:c>
      <x:c r="C13" s="332" t="n">
        <x:f>'01_Assumptions'!C5*'01_Assumptions'!C18*(1+'01_Assumptions'!C19)*'01_Assumptions'!C20/1000000</x:f>
        <x:v>1.3626905600000003</x:v>
      </x:c>
      <x:c r="D13" s="332" t="n">
        <x:f>'01_Assumptions'!D5*'01_Assumptions'!D18*(1+'01_Assumptions'!D19)*'01_Assumptions'!D20/1000000</x:f>
        <x:v>4.894100999999999</x:v>
      </x:c>
      <x:c r="E13" s="332" t="n">
        <x:f>'01_Assumptions'!E5*'01_Assumptions'!E18*(1+'01_Assumptions'!E19)*'01_Assumptions'!E20/1000000</x:f>
        <x:v>11.587583999999998</x:v>
      </x:c>
      <x:c r="F13" s="332" t="n">
        <x:f>'01_Assumptions'!F5*'01_Assumptions'!F18*(1+'01_Assumptions'!F19)*'01_Assumptions'!F20/1000000</x:f>
        <x:v>22.314599999999995</x:v>
      </x:c>
      <x:c r="G13" s="123"/>
    </x:row>
    <x:row r="14" ht="15" hidden="0" customHeight="1">
      <x:c r="A14" s="123" t="str">
        <x:v>Network Maintenance</x:v>
      </x:c>
      <x:c r="B14" s="332" t="n">
        <x:f>'01_Assumptions'!B6*'01_Assumptions'!B21*(1+'01_Assumptions'!B22)*'01_Assumptions'!B23/1000000</x:f>
        <x:v>0.03276</x:v>
      </x:c>
      <x:c r="C14" s="332" t="n">
        <x:f>'01_Assumptions'!C6*'01_Assumptions'!C21*(1+'01_Assumptions'!C22)*'01_Assumptions'!C23/1000000</x:f>
        <x:v>0.289484</x:v>
      </x:c>
      <x:c r="D14" s="332" t="n">
        <x:f>'01_Assumptions'!D6*'01_Assumptions'!D21*(1+'01_Assumptions'!D22)*'01_Assumptions'!D23/1000000</x:f>
        <x:v>1.6226028000000001</x:v>
      </x:c>
      <x:c r="E14" s="332" t="n">
        <x:f>'01_Assumptions'!E6*'01_Assumptions'!E21*(1+'01_Assumptions'!E22)*'01_Assumptions'!E23/1000000</x:f>
        <x:v>4.192965</x:v>
      </x:c>
      <x:c r="F14" s="332" t="n">
        <x:f>'01_Assumptions'!F6*'01_Assumptions'!F21*(1+'01_Assumptions'!F22)*'01_Assumptions'!F23/1000000</x:f>
        <x:v>12.579252</x:v>
      </x:c>
      <x:c r="G14" s="123"/>
    </x:row>
    <x:row r="15" ht="15" hidden="0" customHeight="1">
      <x:c r="A15" s="123" t="str">
        <x:v>Data Layers</x:v>
      </x:c>
      <x:c r="B15" s="332" t="n">
        <x:f>'01_Assumptions'!B6*'01_Assumptions'!B24*(1+'01_Assumptions'!B25)*'01_Assumptions'!B26/1000000</x:f>
        <x:v>0.01288</x:v>
      </x:c>
      <x:c r="C15" s="332" t="n">
        <x:f>'01_Assumptions'!C6*'01_Assumptions'!C24*(1+'01_Assumptions'!C25)*'01_Assumptions'!C26/1000000</x:f>
        <x:v>0.168768</x:v>
      </x:c>
      <x:c r="D15" s="332" t="n">
        <x:f>'01_Assumptions'!D6*'01_Assumptions'!D24*(1+'01_Assumptions'!D25)*'01_Assumptions'!D26/1000000</x:f>
        <x:v>0.9534525</x:v>
      </x:c>
      <x:c r="E15" s="332" t="n">
        <x:f>'01_Assumptions'!E6*'01_Assumptions'!E24*(1+'01_Assumptions'!E25)*'01_Assumptions'!E26/1000000</x:f>
        <x:v>3.89844</x:v>
      </x:c>
      <x:c r="F15" s="332" t="n">
        <x:f>'01_Assumptions'!F6*'01_Assumptions'!F24*(1+'01_Assumptions'!F25)*'01_Assumptions'!F26/1000000</x:f>
        <x:v>11.8838772</x:v>
      </x:c>
      <x:c r="G15" s="123"/>
    </x:row>
    <x:row r="16" ht="15" hidden="0" customHeight="1">
      <x:c r="A16" s="271" t="str">
        <x:v>Total Usage-Based Construction Asset OS</x:v>
      </x:c>
      <x:c r="B16" s="333" t="n">
        <x:f>SUM(B5:B15)</x:f>
        <x:v>2.24296</x:v>
      </x:c>
      <x:c r="C16" s="333" t="n">
        <x:f>SUM(C5:C15)</x:f>
        <x:v>9.42467496</x:v>
      </x:c>
      <x:c r="D16" s="333" t="n">
        <x:f>SUM(D5:D15)</x:f>
        <x:v>29.8172738</x:v>
      </x:c>
      <x:c r="E16" s="333" t="n">
        <x:f>SUM(E5:E15)</x:f>
        <x:v>63.419229</x:v>
      </x:c>
      <x:c r="F16" s="334" t="n">
        <x:f>SUM(F5:F15)</x:f>
        <x:v>122.2145042</x:v>
      </x:c>
      <x:c r="G16" s="123"/>
    </x:row>
    <x:row r="17" ht="15" hidden="0" customHeight="1">
      <x:c r="A17" s="123"/>
      <x:c r="B17" s="332"/>
      <x:c r="C17" s="332"/>
      <x:c r="D17" s="332"/>
      <x:c r="E17" s="332"/>
      <x:c r="F17" s="332"/>
      <x:c r="G17" s="123"/>
    </x:row>
    <x:row r="18" ht="15" hidden="0" customHeight="1">
      <x:c r="A18" s="123" t="str">
        <x:v>iPath</x:v>
      </x:c>
      <x:c r="B18" s="332" t="n">
        <x:f>'01_Assumptions'!B30</x:f>
        <x:v>0.7</x:v>
      </x:c>
      <x:c r="C18" s="332" t="n">
        <x:f>'01_Assumptions'!C30</x:f>
        <x:v>2.39</x:v>
      </x:c>
      <x:c r="D18" s="332" t="n">
        <x:f>'01_Assumptions'!D30</x:f>
        <x:v>7.21</x:v>
      </x:c>
      <x:c r="E18" s="332" t="n">
        <x:f>'01_Assumptions'!E30</x:f>
        <x:v>16.01</x:v>
      </x:c>
      <x:c r="F18" s="332" t="n">
        <x:f>'01_Assumptions'!F30</x:f>
        <x:v>33.91</x:v>
      </x:c>
      <x:c r="G18" s="123"/>
    </x:row>
    <x:row r="19" ht="15" hidden="0" customHeight="1">
      <x:c r="A19" s="123" t="str">
        <x:v>Moolde</x:v>
      </x:c>
      <x:c r="B19" s="332" t="n">
        <x:f>'01_Assumptions'!B31</x:f>
        <x:v>-0.1</x:v>
      </x:c>
      <x:c r="C19" s="332" t="n">
        <x:f>'01_Assumptions'!C31</x:f>
        <x:v>0.2</x:v>
      </x:c>
      <x:c r="D19" s="332" t="n">
        <x:f>'01_Assumptions'!D31</x:f>
        <x:v>0.8</x:v>
      </x:c>
      <x:c r="E19" s="332" t="n">
        <x:f>'01_Assumptions'!E31</x:f>
        <x:v>1.8</x:v>
      </x:c>
      <x:c r="F19" s="332" t="n">
        <x:f>'01_Assumptions'!F31</x:f>
        <x:v>3</x:v>
      </x:c>
      <x:c r="G19" s="123"/>
    </x:row>
    <x:row r="20" ht="15" hidden="0" customHeight="1">
      <x:c r="A20" s="123" t="str">
        <x:v>Internacional</x:v>
      </x:c>
      <x:c r="B20" s="332" t="n">
        <x:f>'01_Assumptions'!B32</x:f>
        <x:v>0</x:v>
      </x:c>
      <x:c r="C20" s="332" t="n">
        <x:f>'01_Assumptions'!C32</x:f>
        <x:v>0</x:v>
      </x:c>
      <x:c r="D20" s="332" t="n">
        <x:f>'01_Assumptions'!D32</x:f>
        <x:v>1.5</x:v>
      </x:c>
      <x:c r="E20" s="332" t="n">
        <x:f>'01_Assumptions'!E32</x:f>
        <x:v>4</x:v>
      </x:c>
      <x:c r="F20" s="332" t="n">
        <x:f>'01_Assumptions'!F32</x:f>
        <x:v>12</x:v>
      </x:c>
      <x:c r="G20" s="123"/>
    </x:row>
    <x:row r="21" ht="15" hidden="0" customHeight="1">
      <x:c r="A21" s="123" t="str">
        <x:v>Financial Layer</x:v>
      </x:c>
      <x:c r="B21" s="332" t="n">
        <x:f>'01_Assumptions'!B33</x:f>
        <x:v>0</x:v>
      </x:c>
      <x:c r="C21" s="332" t="n">
        <x:f>'01_Assumptions'!C33</x:f>
        <x:v>0.3</x:v>
      </x:c>
      <x:c r="D21" s="332" t="n">
        <x:f>'01_Assumptions'!D33</x:f>
        <x:v>1.2</x:v>
      </x:c>
      <x:c r="E21" s="332" t="n">
        <x:f>'01_Assumptions'!E33</x:f>
        <x:v>3</x:v>
      </x:c>
      <x:c r="F21" s="332" t="n">
        <x:f>'01_Assumptions'!F33</x:f>
        <x:v>9</x:v>
      </x:c>
      <x:c r="G21" s="123"/>
    </x:row>
    <x:row r="22" ht="15" hidden="0" customHeight="1">
      <x:c r="A22" s="123" t="str">
        <x:v>Marketplace</x:v>
      </x:c>
      <x:c r="B22" s="332" t="n">
        <x:f>'01_Assumptions'!B6*'01_Assumptions'!B28*'01_Assumptions'!B27/1000000+'01_Assumptions'!B29</x:f>
        <x:v>0.12100000000000001</x:v>
      </x:c>
      <x:c r="C22" s="332" t="n">
        <x:f>'01_Assumptions'!C6*'01_Assumptions'!C28*'01_Assumptions'!C27/1000000+'01_Assumptions'!C29</x:f>
        <x:v>0.40822</x:v>
      </x:c>
      <x:c r="D22" s="332" t="n">
        <x:f>'01_Assumptions'!D6*'01_Assumptions'!D28*'01_Assumptions'!D27/1000000+'01_Assumptions'!D29</x:f>
        <x:v>1.339648</x:v>
      </x:c>
      <x:c r="E22" s="332" t="n">
        <x:f>'01_Assumptions'!E6*'01_Assumptions'!E28*'01_Assumptions'!E27/1000000+'01_Assumptions'!E29</x:f>
        <x:v>3.7703999999999995</x:v>
      </x:c>
      <x:c r="F22" s="332" t="n">
        <x:f>'01_Assumptions'!F6*'01_Assumptions'!F28*'01_Assumptions'!F27/1000000+'01_Assumptions'!F29</x:f>
        <x:v>8.77144</x:v>
      </x:c>
      <x:c r="G22" s="123"/>
    </x:row>
    <x:row r="23" ht="15" hidden="0" customHeight="1">
      <x:c r="A23" s="271" t="str">
        <x:v>TOTAL INGRESOS</x:v>
      </x:c>
      <x:c r="B23" s="333" t="n">
        <x:f>B16+SUM(B18:B22)</x:f>
        <x:v>2.96396</x:v>
      </x:c>
      <x:c r="C23" s="333" t="n">
        <x:f>C16+SUM(C18:C22)</x:f>
        <x:v>12.722894960000001</x:v>
      </x:c>
      <x:c r="D23" s="333" t="n">
        <x:f>D16+SUM(D18:D22)</x:f>
        <x:v>41.8669218</x:v>
      </x:c>
      <x:c r="E23" s="333" t="n">
        <x:f>E16+SUM(E18:E22)</x:f>
        <x:v>91.999629</x:v>
      </x:c>
      <x:c r="F23" s="334" t="n">
        <x:f>F16+SUM(F18:F22)</x:f>
        <x:v>188.89594419999997</x:v>
      </x:c>
      <x:c r="G23" s="123"/>
    </x:row>
    <x:row r="24" ht="15" hidden="0" customHeight="1">
      <x:c r="A24" s="123"/>
      <x:c r="B24" s="123"/>
      <x:c r="C24" s="123"/>
      <x:c r="D24" s="123"/>
      <x:c r="E24" s="123"/>
      <x:c r="F24" s="123"/>
      <x:c r="G24" s="123"/>
    </x:row>
    <x:row r="25" ht="15" hidden="0" customHeight="1">
      <x:c r="A25" s="123"/>
      <x:c r="B25" s="123"/>
      <x:c r="C25" s="123"/>
      <x:c r="D25" s="123"/>
      <x:c r="E25" s="123"/>
      <x:c r="F25" s="123"/>
      <x:c r="G25" s="123"/>
    </x:row>
    <x:row r="26" ht="15" hidden="0" customHeight="1">
      <x:c r="A26" s="123"/>
      <x:c r="B26" s="123"/>
      <x:c r="C26" s="123"/>
      <x:c r="D26" s="123"/>
      <x:c r="E26" s="123"/>
      <x:c r="F26" s="123"/>
      <x:c r="G26" s="123"/>
    </x:row>
    <x:row r="27" ht="15" hidden="0" customHeight="1">
      <x:c r="A27" s="123"/>
      <x:c r="B27" s="123"/>
      <x:c r="C27" s="123"/>
      <x:c r="D27" s="123"/>
      <x:c r="E27" s="123"/>
      <x:c r="F27" s="123"/>
      <x:c r="G27" s="123"/>
    </x:row>
    <x:row r="28" ht="15" hidden="0" customHeight="1">
      <x:c r="A28" s="123"/>
      <x:c r="B28" s="123"/>
      <x:c r="C28" s="123"/>
      <x:c r="D28" s="123"/>
      <x:c r="E28" s="123"/>
      <x:c r="F28" s="123"/>
      <x:c r="G28" s="123"/>
    </x:row>
    <x:row r="29" ht="15" hidden="0" customHeight="1">
      <x:c r="A29" s="123"/>
      <x:c r="B29" s="123"/>
      <x:c r="C29" s="123"/>
      <x:c r="D29" s="123"/>
      <x:c r="E29" s="123"/>
      <x:c r="F29" s="123"/>
      <x:c r="G29" s="123"/>
    </x:row>
    <x:row r="30" ht="15" hidden="0" customHeight="1">
      <x:c r="A30" s="123"/>
      <x:c r="B30" s="123"/>
      <x:c r="C30" s="123"/>
      <x:c r="D30" s="123"/>
      <x:c r="E30" s="123"/>
      <x:c r="F30" s="123"/>
      <x:c r="G30" s="123"/>
    </x:row>
    <x:row r="31" ht="15" hidden="0" customHeight="1">
      <x:c r="A31" s="123"/>
      <x:c r="B31" s="123"/>
      <x:c r="C31" s="123"/>
      <x:c r="D31" s="123"/>
      <x:c r="E31" s="123"/>
      <x:c r="F31" s="123"/>
      <x:c r="G31" s="123"/>
    </x:row>
    <x:row r="32" ht="15" hidden="0" customHeight="1">
      <x:c r="A32" s="123"/>
      <x:c r="B32" s="123"/>
      <x:c r="C32" s="123"/>
      <x:c r="D32" s="123"/>
      <x:c r="E32" s="123"/>
      <x:c r="F32" s="123"/>
      <x:c r="G32" s="123"/>
    </x:row>
    <x:row r="33" ht="15" hidden="0" customHeight="1">
      <x:c r="A33" s="123"/>
      <x:c r="B33" s="123"/>
      <x:c r="C33" s="123"/>
      <x:c r="D33" s="123"/>
      <x:c r="E33" s="123"/>
      <x:c r="F33" s="123"/>
      <x:c r="G33" s="123"/>
    </x:row>
    <x:row r="34" ht="15" hidden="0" customHeight="1">
      <x:c r="A34" s="123"/>
      <x:c r="B34" s="123"/>
      <x:c r="C34" s="123"/>
      <x:c r="D34" s="123"/>
      <x:c r="E34" s="123"/>
      <x:c r="F34" s="123"/>
      <x:c r="G34" s="123"/>
    </x:row>
    <x:row r="35" ht="15" hidden="0" customHeight="1">
      <x:c r="A35" s="123"/>
      <x:c r="B35" s="123"/>
      <x:c r="C35" s="123"/>
      <x:c r="D35" s="123"/>
      <x:c r="E35" s="123"/>
      <x:c r="F35" s="123"/>
      <x:c r="G35" s="123"/>
    </x:row>
    <x:row r="36" ht="15" hidden="0" customHeight="1">
      <x:c r="A36" s="123"/>
      <x:c r="B36" s="123"/>
      <x:c r="C36" s="123"/>
      <x:c r="D36" s="123"/>
      <x:c r="E36" s="123"/>
      <x:c r="F36" s="123"/>
      <x:c r="G36" s="123"/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880001068115234" hidden="0" customWidth="1"/>
    <x:col min="2" max="2" width="5.630000114440918" hidden="0" customWidth="1"/>
    <x:col min="3" max="3" width="5.130000114440918" hidden="0" customWidth="1"/>
    <x:col min="4" max="4" width="5.130000114440918" hidden="0" customWidth="1"/>
    <x:col min="5" max="5" width="5.130000114440918" hidden="0" customWidth="1"/>
    <x:col min="6" max="6" width="5.130000114440918" hidden="0" customWidth="1"/>
    <x:col min="7" max="7" width="15" hidden="0" customWidth="1"/>
  </x:cols>
  <x:sheetData>
    <x:row r="1" ht="15" hidden="0" customHeight="1">
      <x:c r="A1" s="121" t="str">
        <x:v>07 Contribution</x:v>
      </x:c>
      <x:c r="B1" s="121"/>
      <x:c r="C1" s="121"/>
      <x:c r="D1" s="121"/>
      <x:c r="E1" s="121"/>
      <x:c r="F1" s="121"/>
      <x:c r="G1" s="121"/>
      <x:c r="H1" s="2"/>
    </x:row>
    <x:row r="2" ht="15" hidden="0" customHeight="1">
      <x:c r="A2" s="122" t="str">
        <x:v>Contribucion por motor, OPEX y EBITDA. EUR M.</x:v>
      </x:c>
      <x:c r="B2" s="122"/>
      <x:c r="C2" s="122"/>
      <x:c r="D2" s="122"/>
      <x:c r="E2" s="122"/>
      <x:c r="F2" s="122"/>
      <x:c r="G2" s="122"/>
      <x:c r="H2" s="4"/>
    </x:row>
    <x:row r="3" ht="15" hidden="0" customHeight="1">
      <x:c r="A3" s="123"/>
      <x:c r="B3" s="123"/>
      <x:c r="C3" s="123"/>
      <x:c r="D3" s="123"/>
      <x:c r="E3" s="123"/>
      <x:c r="F3" s="123"/>
      <x:c r="G3" s="123"/>
    </x:row>
    <x:row r="4" ht="15" hidden="0" customHeight="1">
      <x:c r="A4" s="124" t="str">
        <x:v>Concepto</x:v>
      </x:c>
      <x:c r="B4" s="124" t="n">
        <x:v>2026</x:v>
      </x:c>
      <x:c r="C4" s="124" t="n">
        <x:v>2027</x:v>
      </x:c>
      <x:c r="D4" s="124" t="n">
        <x:v>2028</x:v>
      </x:c>
      <x:c r="E4" s="124" t="n">
        <x:v>2029</x:v>
      </x:c>
      <x:c r="F4" s="124" t="n">
        <x:v>2030</x:v>
      </x:c>
      <x:c r="G4" s="123"/>
    </x:row>
    <x:row r="5" ht="15" hidden="0" customHeight="1">
      <x:c r="A5" s="123" t="str">
        <x:v>Ingresos totales</x:v>
      </x:c>
      <x:c r="B5" s="332" t="n">
        <x:f>'06_Revenue'!B23</x:f>
        <x:v>2.96396</x:v>
      </x:c>
      <x:c r="C5" s="332" t="n">
        <x:f>'06_Revenue'!C23</x:f>
        <x:v>12.722894960000001</x:v>
      </x:c>
      <x:c r="D5" s="332" t="n">
        <x:f>'06_Revenue'!D23</x:f>
        <x:v>41.8669218</x:v>
      </x:c>
      <x:c r="E5" s="332" t="n">
        <x:f>'06_Revenue'!E23</x:f>
        <x:v>91.999629</x:v>
      </x:c>
      <x:c r="F5" s="332" t="n">
        <x:f>'06_Revenue'!F23</x:f>
        <x:v>188.89594419999997</x:v>
      </x:c>
      <x:c r="G5" s="123"/>
    </x:row>
    <x:row r="6" ht="15" hidden="0" customHeight="1">
      <x:c r="A6" s="123" t="str">
        <x:v>Contribucion digitalizacion fabricante</x:v>
      </x:c>
      <x:c r="B6" s="332" t="n">
        <x:f>'06_Revenue'!B5*'02B_Partner_Economics'!B54</x:f>
        <x:v>0.027500000000000004</x:v>
      </x:c>
      <x:c r="C6" s="332" t="n">
        <x:f>'06_Revenue'!C5*'02B_Partner_Economics'!C54</x:f>
        <x:v>0.09860000000000001</x:v>
      </x:c>
      <x:c r="D6" s="332" t="n">
        <x:f>'06_Revenue'!D5*'02B_Partner_Economics'!D54</x:f>
        <x:v>0.222</x:v>
      </x:c>
      <x:c r="E6" s="332" t="n">
        <x:f>'06_Revenue'!E5*'02B_Partner_Economics'!E54</x:f>
        <x:v>0.434</x:v>
      </x:c>
      <x:c r="F6" s="332" t="n">
        <x:f>'06_Revenue'!F5*'02B_Partner_Economics'!F54</x:f>
        <x:v>0.5850000000000001</x:v>
      </x:c>
      <x:c r="G6" s="123"/>
    </x:row>
    <x:row r="7" ht="15" hidden="0" customHeight="1">
      <x:c r="A7" s="123" t="str">
        <x:v>Contribucion digitalizacion montaje</x:v>
      </x:c>
      <x:c r="B7" s="332" t="n">
        <x:f>'06_Revenue'!B6*'02B_Partner_Economics'!B55</x:f>
        <x:v>0.021</x:v>
      </x:c>
      <x:c r="C7" s="332" t="n">
        <x:f>'06_Revenue'!C6*'02B_Partner_Economics'!C55</x:f>
        <x:v>0.0465</x:v>
      </x:c>
      <x:c r="D7" s="332" t="n">
        <x:f>'06_Revenue'!D6*'02B_Partner_Economics'!D55</x:f>
        <x:v>0.15665</x:v>
      </x:c>
      <x:c r="E7" s="332" t="n">
        <x:f>'06_Revenue'!E6*'02B_Partner_Economics'!E55</x:f>
        <x:v>0.15410000000000001</x:v>
      </x:c>
      <x:c r="F7" s="332" t="n">
        <x:f>'06_Revenue'!F6*'02B_Partner_Economics'!F55</x:f>
        <x:v>0.17779999999999999</x:v>
      </x:c>
      <x:c r="G7" s="123"/>
    </x:row>
    <x:row r="8" ht="15" hidden="0" customHeight="1">
      <x:c r="A8" s="123" t="str">
        <x:v>Contribucion fee fabricante</x:v>
      </x:c>
      <x:c r="B8" s="332" t="n">
        <x:f>'06_Revenue'!B7*'02B_Partner_Economics'!B56</x:f>
        <x:v>0.2975</x:v>
      </x:c>
      <x:c r="C8" s="332" t="n">
        <x:f>'06_Revenue'!C7*'02B_Partner_Economics'!C56</x:f>
        <x:v>0.9589</x:v>
      </x:c>
      <x:c r="D8" s="332" t="n">
        <x:f>'06_Revenue'!D7*'02B_Partner_Economics'!D56</x:f>
        <x:v>2.316375</x:v>
      </x:c>
      <x:c r="E8" s="332" t="n">
        <x:f>'06_Revenue'!E7*'02B_Partner_Economics'!E56</x:f>
        <x:v>4.224</x:v>
      </x:c>
      <x:c r="F8" s="332" t="n">
        <x:f>'06_Revenue'!F7*'02B_Partner_Economics'!F56</x:f>
        <x:v>6.615</x:v>
      </x:c>
      <x:c r="G8" s="123"/>
    </x:row>
    <x:row r="9" ht="15" hidden="0" customHeight="1">
      <x:c r="A9" s="123" t="str">
        <x:v>Contribucion fee montaje</x:v>
      </x:c>
      <x:c r="B9" s="332" t="n">
        <x:f>'06_Revenue'!B8*'02B_Partner_Economics'!B57</x:f>
        <x:v>0.21525</x:v>
      </x:c>
      <x:c r="C9" s="332" t="n">
        <x:f>'06_Revenue'!C8*'02B_Partner_Economics'!C57</x:f>
        <x:v>0.79611</x:v>
      </x:c>
      <x:c r="D9" s="332" t="n">
        <x:f>'06_Revenue'!D8*'02B_Partner_Economics'!D57</x:f>
        <x:v>2.060775</x:v>
      </x:c>
      <x:c r="E9" s="332" t="n">
        <x:f>'06_Revenue'!E8*'02B_Partner_Economics'!E57</x:f>
        <x:v>3.8836800000000005</x:v>
      </x:c>
      <x:c r="F9" s="332" t="n">
        <x:f>'06_Revenue'!F8*'02B_Partner_Economics'!F57</x:f>
        <x:v>6.1446</x:v>
      </x:c>
      <x:c r="G9" s="123"/>
    </x:row>
    <x:row r="10" ht="15" hidden="0" customHeight="1">
      <x:c r="A10" s="123" t="str">
        <x:v>Contribucion resto Asset OS</x:v>
      </x:c>
      <x:c r="B10" s="332" t="n">
        <x:f>('06_Revenue'!B16-SUM('06_Revenue'!B5:B8))*'01_Assumptions'!B34</x:f>
        <x:v>1.1436404</x:v>
      </x:c>
      <x:c r="C10" s="332" t="n">
        <x:f>('06_Revenue'!C16-SUM('06_Revenue'!C5:C8))*'01_Assumptions'!C34</x:f>
        <x:v>5.337693720000001</x:v>
      </x:c>
      <x:c r="D10" s="332" t="n">
        <x:f>('06_Revenue'!D16-SUM('06_Revenue'!D5:D8))*'01_Assumptions'!D34</x:f>
        <x:v>18.593593326</x:v>
      </x:c>
      <x:c r="E10" s="332" t="n">
        <x:f>('06_Revenue'!E16-SUM('06_Revenue'!E5:E8))*'01_Assumptions'!E34</x:f>
        <x:v>42.04793091</x:v>
      </x:c>
      <x:c r="F10" s="332" t="n">
        <x:f>('06_Revenue'!F16-SUM('06_Revenue'!F5:F8))*'01_Assumptions'!F34</x:f>
        <x:v>87.51696344399998</x:v>
      </x:c>
      <x:c r="G10" s="123"/>
    </x:row>
    <x:row r="11" ht="15" hidden="0" customHeight="1">
      <x:c r="A11" s="123" t="str">
        <x:v>Contribucion iPath</x:v>
      </x:c>
      <x:c r="B11" s="332" t="n">
        <x:f>'06_Revenue'!B18*'01_Assumptions'!B35</x:f>
        <x:v>0.26599999999999996</x:v>
      </x:c>
      <x:c r="C11" s="332" t="n">
        <x:f>'06_Revenue'!C18*'01_Assumptions'!C35</x:f>
        <x:v>0.9560000000000001</x:v>
      </x:c>
      <x:c r="D11" s="332" t="n">
        <x:f>'06_Revenue'!D18*'01_Assumptions'!D35</x:f>
        <x:v>3.0282</x:v>
      </x:c>
      <x:c r="E11" s="332" t="n">
        <x:f>'06_Revenue'!E18*'01_Assumptions'!E35</x:f>
        <x:v>7.0444</x:v>
      </x:c>
      <x:c r="F11" s="332" t="n">
        <x:f>'06_Revenue'!F18*'01_Assumptions'!F35</x:f>
        <x:v>16.276799999999998</x:v>
      </x:c>
      <x:c r="G11" s="123"/>
    </x:row>
    <x:row r="12" ht="15" hidden="0" customHeight="1">
      <x:c r="A12" s="123" t="str">
        <x:v>Contribucion Marketplace</x:v>
      </x:c>
      <x:c r="B12" s="332" t="n">
        <x:f>'06_Revenue'!B22*'01_Assumptions'!B36</x:f>
        <x:v>0.09438</x:v>
      </x:c>
      <x:c r="C12" s="332" t="n">
        <x:f>'06_Revenue'!C22*'01_Assumptions'!C36</x:f>
        <x:v>0.32657600000000003</x:v>
      </x:c>
      <x:c r="D12" s="332" t="n">
        <x:f>'06_Revenue'!D22*'01_Assumptions'!D36</x:f>
        <x:v>1.0985113599999998</x:v>
      </x:c>
      <x:c r="E12" s="332" t="n">
        <x:f>'06_Revenue'!E22*'01_Assumptions'!E36</x:f>
        <x:v>3.1671359999999993</x:v>
      </x:c>
      <x:c r="F12" s="332" t="n">
        <x:f>'06_Revenue'!F22*'01_Assumptions'!F36</x:f>
        <x:v>7.5434384</x:v>
      </x:c>
      <x:c r="G12" s="123"/>
    </x:row>
    <x:row r="13" ht="15" hidden="0" customHeight="1">
      <x:c r="A13" s="123" t="str">
        <x:v>Contribucion Moolde</x:v>
      </x:c>
      <x:c r="B13" s="332" t="n">
        <x:f>'06_Revenue'!B19</x:f>
        <x:v>-0.1</x:v>
      </x:c>
      <x:c r="C13" s="332" t="n">
        <x:f>'06_Revenue'!C19</x:f>
        <x:v>0.2</x:v>
      </x:c>
      <x:c r="D13" s="332" t="n">
        <x:f>'06_Revenue'!D19</x:f>
        <x:v>0.8</x:v>
      </x:c>
      <x:c r="E13" s="332" t="n">
        <x:f>'06_Revenue'!E19</x:f>
        <x:v>1.8</x:v>
      </x:c>
      <x:c r="F13" s="332" t="n">
        <x:f>'06_Revenue'!F19</x:f>
        <x:v>3</x:v>
      </x:c>
      <x:c r="G13" s="123"/>
    </x:row>
    <x:row r="14" ht="15" hidden="0" customHeight="1">
      <x:c r="A14" s="123" t="str">
        <x:v>Contribucion Internacional</x:v>
      </x:c>
      <x:c r="B14" s="332" t="n">
        <x:f>'06_Revenue'!B20*'01_Assumptions'!B37</x:f>
        <x:v>0</x:v>
      </x:c>
      <x:c r="C14" s="332" t="n">
        <x:f>'06_Revenue'!C20*'01_Assumptions'!C37</x:f>
        <x:v>0</x:v>
      </x:c>
      <x:c r="D14" s="332" t="n">
        <x:f>'06_Revenue'!D20*'01_Assumptions'!D37</x:f>
        <x:v>1.02</x:v>
      </x:c>
      <x:c r="E14" s="332" t="n">
        <x:f>'06_Revenue'!E20*'01_Assumptions'!E37</x:f>
        <x:v>2.8</x:v>
      </x:c>
      <x:c r="F14" s="332" t="n">
        <x:f>'06_Revenue'!F20*'01_Assumptions'!F37</x:f>
        <x:v>9</x:v>
      </x:c>
      <x:c r="G14" s="123"/>
    </x:row>
    <x:row r="15" ht="15" hidden="0" customHeight="1">
      <x:c r="A15" s="123" t="str">
        <x:v>Contribucion Financial Layer</x:v>
      </x:c>
      <x:c r="B15" s="332" t="n">
        <x:f>'06_Revenue'!B21*'01_Assumptions'!B38</x:f>
        <x:v>0</x:v>
      </x:c>
      <x:c r="C15" s="332" t="n">
        <x:f>'06_Revenue'!C21*'01_Assumptions'!C38</x:f>
        <x:v>0.20400000000000001</x:v>
      </x:c>
      <x:c r="D15" s="332" t="n">
        <x:f>'06_Revenue'!D21*'01_Assumptions'!D38</x:f>
        <x:v>0.864</x:v>
      </x:c>
      <x:c r="E15" s="332" t="n">
        <x:f>'06_Revenue'!E21*'01_Assumptions'!E38</x:f>
        <x:v>2.25</x:v>
      </x:c>
      <x:c r="F15" s="332" t="n">
        <x:f>'06_Revenue'!F21*'01_Assumptions'!F38</x:f>
        <x:v>7.6499999999999995</x:v>
      </x:c>
      <x:c r="G15" s="123"/>
    </x:row>
    <x:row r="16" ht="15" hidden="0" customHeight="1">
      <x:c r="A16" s="271" t="str">
        <x:v>Margen bruto / contribucion total</x:v>
      </x:c>
      <x:c r="B16" s="333" t="n">
        <x:f>SUM(B6:B15)</x:f>
        <x:v>1.9652704</x:v>
      </x:c>
      <x:c r="C16" s="333" t="n">
        <x:f>SUM(C6:C15)</x:f>
        <x:v>8.92437972</x:v>
      </x:c>
      <x:c r="D16" s="333" t="n">
        <x:f>SUM(D6:D15)</x:f>
        <x:v>30.160104686000004</x:v>
      </x:c>
      <x:c r="E16" s="333" t="n">
        <x:f>SUM(E6:E15)</x:f>
        <x:v>67.80524691</x:v>
      </x:c>
      <x:c r="F16" s="334" t="n">
        <x:f>SUM(F6:F15)</x:f>
        <x:v>144.509601844</x:v>
      </x:c>
      <x:c r="G16" s="123"/>
    </x:row>
    <x:row r="17" ht="15" hidden="0" customHeight="1">
      <x:c r="A17" s="123" t="str">
        <x:v>% margen bruto</x:v>
      </x:c>
      <x:c r="B17" s="309" t="n">
        <x:f>IF(B5=0,0,B16/B5)</x:f>
        <x:v>0.6630556417765422</x:v>
      </x:c>
      <x:c r="C17" s="309" t="n">
        <x:f>IF(C5=0,0,C16/C5)</x:f>
        <x:v>0.7014425371000625</x:v>
      </x:c>
      <x:c r="D17" s="309" t="n">
        <x:f>IF(D5=0,0,D16/D5)</x:f>
        <x:v>0.7203802761061837</x:v>
      </x:c>
      <x:c r="E17" s="309" t="n">
        <x:f>IF(E5=0,0,E16/E5)</x:f>
        <x:v>0.7370165254688146</x:v>
      </x:c>
      <x:c r="F17" s="309" t="n">
        <x:f>IF(F5=0,0,F16/F5)</x:f>
        <x:v>0.7650222584503751</x:v>
      </x:c>
      <x:c r="G17" s="123"/>
    </x:row>
    <x:row r="18" ht="15" hidden="0" customHeight="1">
      <x:c r="A18" s="123" t="str">
        <x:v>OPEX total</x:v>
      </x:c>
      <x:c r="B18" s="332" t="n">
        <x:f>'08_OPEX'!B10</x:f>
        <x:v>3.5900000000000003</x:v>
      </x:c>
      <x:c r="C18" s="332" t="n">
        <x:f>'08_OPEX'!C10</x:f>
        <x:v>7.015000000000001</x:v>
      </x:c>
      <x:c r="D18" s="332" t="n">
        <x:f>'08_OPEX'!D10</x:f>
        <x:v>13.42</x:v>
      </x:c>
      <x:c r="E18" s="332" t="n">
        <x:f>'08_OPEX'!E10</x:f>
        <x:v>20.299999999999997</x:v>
      </x:c>
      <x:c r="F18" s="332" t="n">
        <x:f>'08_OPEX'!F10</x:f>
        <x:v>34.08</x:v>
      </x:c>
      <x:c r="G18" s="123"/>
    </x:row>
    <x:row r="19" ht="15" hidden="0" customHeight="1">
      <x:c r="A19" s="271" t="str">
        <x:v>EBITDA</x:v>
      </x:c>
      <x:c r="B19" s="333" t="n">
        <x:f>B16-B18</x:f>
        <x:v>-1.6247296000000002</x:v>
      </x:c>
      <x:c r="C19" s="333" t="n">
        <x:f>C16-C18</x:f>
        <x:v>1.9093797199999987</x:v>
      </x:c>
      <x:c r="D19" s="333" t="n">
        <x:f>D16-D18</x:f>
        <x:v>16.740104686000002</x:v>
      </x:c>
      <x:c r="E19" s="333" t="n">
        <x:f>E16-E18</x:f>
        <x:v>47.50524691</x:v>
      </x:c>
      <x:c r="F19" s="334" t="n">
        <x:f>F16-F18</x:f>
        <x:v>110.429601844</x:v>
      </x:c>
      <x:c r="G19" s="123"/>
    </x:row>
    <x:row r="20" ht="15" hidden="0" customHeight="1">
      <x:c r="A20" s="123" t="str">
        <x:v>% margen EBITDA</x:v>
      </x:c>
      <x:c r="B20" s="309" t="n">
        <x:f>IF(B5=0,0,B19/B5)</x:f>
        <x:v>-0.5481617835598321</x:v>
      </x:c>
      <x:c r="C20" s="309" t="n">
        <x:f>IF(C5=0,0,C19/C5)</x:f>
        <x:v>0.15007431296123808</x:v>
      </x:c>
      <x:c r="D20" s="309" t="n">
        <x:f>IF(D5=0,0,D19/D5)</x:f>
        <x:v>0.3998408281833608</x:v>
      </x:c>
      <x:c r="E20" s="309" t="n">
        <x:f>IF(E5=0,0,E19/E5)</x:f>
        <x:v>0.5163634617483077</x:v>
      </x:c>
      <x:c r="F20" s="309" t="n">
        <x:f>IF(F5=0,0,F19/F5)</x:f>
        <x:v>0.5846054679028944</x:v>
      </x:c>
      <x:c r="G20" s="123"/>
    </x:row>
    <x:row r="21" ht="15" hidden="0" customHeight="1">
      <x:c r="A21" s="123"/>
      <x:c r="B21" s="123"/>
      <x:c r="C21" s="123"/>
      <x:c r="D21" s="123"/>
      <x:c r="E21" s="123"/>
      <x:c r="F21" s="123"/>
      <x:c r="G21" s="123"/>
    </x:row>
    <x:row r="22" ht="15" hidden="0" customHeight="1">
      <x:c r="A22" s="123"/>
      <x:c r="B22" s="123"/>
      <x:c r="C22" s="123"/>
      <x:c r="D22" s="123"/>
      <x:c r="E22" s="123"/>
      <x:c r="F22" s="123"/>
      <x:c r="G22" s="123"/>
    </x:row>
    <x:row r="23" ht="15" hidden="0" customHeight="1">
      <x:c r="A23" s="123"/>
      <x:c r="B23" s="123"/>
      <x:c r="C23" s="123"/>
      <x:c r="D23" s="123"/>
      <x:c r="E23" s="123"/>
      <x:c r="F23" s="123"/>
      <x:c r="G23" s="123"/>
    </x:row>
    <x:row r="24" ht="15" hidden="0" customHeight="1">
      <x:c r="A24" s="123"/>
      <x:c r="B24" s="123"/>
      <x:c r="C24" s="123"/>
      <x:c r="D24" s="123"/>
      <x:c r="E24" s="123"/>
      <x:c r="F24" s="123"/>
      <x:c r="G24" s="123"/>
    </x:row>
    <x:row r="25" ht="15" hidden="0" customHeight="1">
      <x:c r="A25" s="123"/>
      <x:c r="B25" s="123"/>
      <x:c r="C25" s="123"/>
      <x:c r="D25" s="123"/>
      <x:c r="E25" s="123"/>
      <x:c r="F25" s="123"/>
      <x:c r="G25" s="123"/>
    </x:row>
    <x:row r="26" ht="15" hidden="0" customHeight="1">
      <x:c r="A26" s="123"/>
      <x:c r="B26" s="123"/>
      <x:c r="C26" s="123"/>
      <x:c r="D26" s="123"/>
      <x:c r="E26" s="123"/>
      <x:c r="F26" s="123"/>
      <x:c r="G26" s="123"/>
    </x:row>
    <x:row r="27" ht="15" hidden="0" customHeight="1">
      <x:c r="A27" s="123"/>
      <x:c r="B27" s="123"/>
      <x:c r="C27" s="123"/>
      <x:c r="D27" s="123"/>
      <x:c r="E27" s="123"/>
      <x:c r="F27" s="123"/>
      <x:c r="G27" s="123"/>
    </x:row>
    <x:row r="28" ht="15" hidden="0" customHeight="1">
      <x:c r="A28" s="123"/>
      <x:c r="B28" s="123"/>
      <x:c r="C28" s="123"/>
      <x:c r="D28" s="123"/>
      <x:c r="E28" s="123"/>
      <x:c r="F28" s="123"/>
      <x:c r="G28" s="123"/>
    </x:row>
    <x:row r="29" ht="15" hidden="0" customHeight="1">
      <x:c r="A29" s="123"/>
      <x:c r="B29" s="123"/>
      <x:c r="C29" s="123"/>
      <x:c r="D29" s="123"/>
      <x:c r="E29" s="123"/>
      <x:c r="F29" s="123"/>
      <x:c r="G29" s="123"/>
    </x:row>
    <x:row r="30" ht="15" hidden="0" customHeight="1">
      <x:c r="A30" s="123"/>
      <x:c r="B30" s="123"/>
      <x:c r="C30" s="123"/>
      <x:c r="D30" s="123"/>
      <x:c r="E30" s="123"/>
      <x:c r="F30" s="123"/>
      <x:c r="G30" s="123"/>
    </x:row>
    <x:row r="31" ht="15" hidden="0" customHeight="1">
      <x:c r="A31" s="123"/>
      <x:c r="B31" s="123"/>
      <x:c r="C31" s="123"/>
      <x:c r="D31" s="123"/>
      <x:c r="E31" s="123"/>
      <x:c r="F31" s="123"/>
      <x:c r="G31" s="123"/>
    </x:row>
    <x:row r="32" ht="15" hidden="0" customHeight="1">
      <x:c r="A32" s="123"/>
      <x:c r="B32" s="123"/>
      <x:c r="C32" s="123"/>
      <x:c r="D32" s="123"/>
      <x:c r="E32" s="123"/>
      <x:c r="F32" s="123"/>
      <x:c r="G32" s="123"/>
    </x:row>
    <x:row r="33" ht="15" hidden="0" customHeight="1">
      <x:c r="A33" s="123"/>
      <x:c r="B33" s="123"/>
      <x:c r="C33" s="123"/>
      <x:c r="D33" s="123"/>
      <x:c r="E33" s="123"/>
      <x:c r="F33" s="123"/>
      <x:c r="G33" s="123"/>
    </x:row>
    <x:row r="34" ht="15" hidden="0" customHeight="1">
      <x:c r="A34" s="123"/>
      <x:c r="B34" s="123"/>
      <x:c r="C34" s="123"/>
      <x:c r="D34" s="123"/>
      <x:c r="E34" s="123"/>
      <x:c r="F34" s="123"/>
      <x:c r="G34" s="123"/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.130001068115234" hidden="0" customWidth="1"/>
    <x:col min="2" max="2" width="5.5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15" hidden="0" customWidth="1"/>
  </x:cols>
  <x:sheetData>
    <x:row r="1" ht="15" hidden="0" customHeight="1">
      <x:c r="A1" s="121" t="str">
        <x:v>08 OPEX</x:v>
      </x:c>
      <x:c r="B1" s="121"/>
      <x:c r="C1" s="121"/>
      <x:c r="D1" s="121"/>
      <x:c r="E1" s="121"/>
      <x:c r="F1" s="121"/>
      <x:c r="G1" s="121"/>
      <x:c r="H1" s="2"/>
    </x:row>
    <x:row r="2" ht="15" hidden="0" customHeight="1">
      <x:c r="A2" s="122" t="str">
        <x:v>Estructura de costes de plataforma. EUR M salvo FTE y coste medio.</x:v>
      </x:c>
      <x:c r="B2" s="122"/>
      <x:c r="C2" s="122"/>
      <x:c r="D2" s="122"/>
      <x:c r="E2" s="122"/>
      <x:c r="F2" s="122"/>
      <x:c r="G2" s="122"/>
      <x:c r="H2" s="4"/>
    </x:row>
    <x:row r="3" ht="15" hidden="0" customHeight="1">
      <x:c r="A3" s="123"/>
      <x:c r="B3" s="123"/>
      <x:c r="C3" s="123"/>
      <x:c r="D3" s="123"/>
      <x:c r="E3" s="123"/>
      <x:c r="F3" s="123"/>
      <x:c r="G3" s="123"/>
    </x:row>
    <x:row r="4" ht="15" hidden="0" customHeight="1">
      <x:c r="A4" s="124" t="str">
        <x:v>Concepto</x:v>
      </x:c>
      <x:c r="B4" s="124" t="n">
        <x:v>2026</x:v>
      </x:c>
      <x:c r="C4" s="124" t="n">
        <x:v>2027</x:v>
      </x:c>
      <x:c r="D4" s="124" t="n">
        <x:v>2028</x:v>
      </x:c>
      <x:c r="E4" s="124" t="n">
        <x:v>2029</x:v>
      </x:c>
      <x:c r="F4" s="124" t="n">
        <x:v>2030</x:v>
      </x:c>
      <x:c r="G4" s="123"/>
    </x:row>
    <x:row r="5" ht="15" hidden="0" customHeight="1">
      <x:c r="A5" s="123" t="str">
        <x:v>FTE</x:v>
      </x:c>
      <x:c r="B5" s="266" t="n">
        <x:f>'01_Assumptions'!B39</x:f>
        <x:v>20</x:v>
      </x:c>
      <x:c r="C5" s="266" t="n">
        <x:f>'01_Assumptions'!C39</x:f>
        <x:v>45</x:v>
      </x:c>
      <x:c r="D5" s="266" t="n">
        <x:f>'01_Assumptions'!D39</x:f>
        <x:v>90</x:v>
      </x:c>
      <x:c r="E5" s="266" t="n">
        <x:f>'01_Assumptions'!E39</x:f>
        <x:v>145</x:v>
      </x:c>
      <x:c r="F5" s="266" t="n">
        <x:f>'01_Assumptions'!F39</x:f>
        <x:v>205</x:v>
      </x:c>
      <x:c r="G5" s="123"/>
    </x:row>
    <x:row r="6" ht="15" hidden="0" customHeight="1">
      <x:c r="A6" s="123" t="str">
        <x:v>Coste medio FTE EUR</x:v>
      </x:c>
      <x:c r="B6" s="266" t="n">
        <x:f>'01_Assumptions'!B40</x:f>
        <x:v>65000</x:v>
      </x:c>
      <x:c r="C6" s="266" t="n">
        <x:f>'01_Assumptions'!C40</x:f>
        <x:v>75000</x:v>
      </x:c>
      <x:c r="D6" s="266" t="n">
        <x:f>'01_Assumptions'!D40</x:f>
        <x:v>82000</x:v>
      </x:c>
      <x:c r="E6" s="266" t="n">
        <x:f>'01_Assumptions'!E40</x:f>
        <x:v>90000</x:v>
      </x:c>
      <x:c r="F6" s="266" t="n">
        <x:f>'01_Assumptions'!F40</x:f>
        <x:v>96000</x:v>
      </x:c>
      <x:c r="G6" s="123"/>
    </x:row>
    <x:row r="7" ht="15" hidden="0" customHeight="1">
      <x:c r="A7" s="123" t="str">
        <x:v>Coste personal</x:v>
      </x:c>
      <x:c r="B7" s="332" t="n">
        <x:f>B5*B6/1000000</x:f>
        <x:v>1.3</x:v>
      </x:c>
      <x:c r="C7" s="332" t="n">
        <x:f>C5*C6/1000000</x:f>
        <x:v>3.375</x:v>
      </x:c>
      <x:c r="D7" s="332" t="n">
        <x:f>D5*D6/1000000</x:f>
        <x:v>7.38</x:v>
      </x:c>
      <x:c r="E7" s="332" t="n">
        <x:f>E5*E6/1000000</x:f>
        <x:v>13.05</x:v>
      </x:c>
      <x:c r="F7" s="332" t="n">
        <x:f>F5*F6/1000000</x:f>
        <x:v>19.68</x:v>
      </x:c>
      <x:c r="G7" s="123"/>
    </x:row>
    <x:row r="8" ht="15" hidden="0" customHeight="1">
      <x:c r="A8" s="123" t="str">
        <x:v>Otros OPEX</x:v>
      </x:c>
      <x:c r="B8" s="332" t="n">
        <x:f>'01_Assumptions'!B41</x:f>
        <x:v>1.94</x:v>
      </x:c>
      <x:c r="C8" s="332" t="n">
        <x:f>'01_Assumptions'!C41</x:f>
        <x:v>2.99</x:v>
      </x:c>
      <x:c r="D8" s="332" t="n">
        <x:f>'01_Assumptions'!D41</x:f>
        <x:v>5.04</x:v>
      </x:c>
      <x:c r="E8" s="332" t="n">
        <x:f>'01_Assumptions'!E41</x:f>
        <x:v>5.85</x:v>
      </x:c>
      <x:c r="F8" s="332" t="n">
        <x:f>'01_Assumptions'!F41</x:f>
        <x:v>12.6</x:v>
      </x:c>
      <x:c r="G8" s="123"/>
    </x:row>
    <x:row r="9" ht="15" hidden="0" customHeight="1">
      <x:c r="A9" s="123" t="str">
        <x:v>OPEX incremental POI/data/customer success</x:v>
      </x:c>
      <x:c r="B9" s="332" t="n">
        <x:f>'01_Assumptions'!B42</x:f>
        <x:v>0.35</x:v>
      </x:c>
      <x:c r="C9" s="332" t="n">
        <x:f>'01_Assumptions'!C42</x:f>
        <x:v>0.65</x:v>
      </x:c>
      <x:c r="D9" s="332" t="n">
        <x:f>'01_Assumptions'!D42</x:f>
        <x:v>1</x:v>
      </x:c>
      <x:c r="E9" s="332" t="n">
        <x:f>'01_Assumptions'!E42</x:f>
        <x:v>1.4</x:v>
      </x:c>
      <x:c r="F9" s="332" t="n">
        <x:f>'01_Assumptions'!F42</x:f>
        <x:v>1.8</x:v>
      </x:c>
      <x:c r="G9" s="123"/>
    </x:row>
    <x:row r="10" ht="15" hidden="0" customHeight="1">
      <x:c r="A10" s="271" t="str">
        <x:v>OPEX TOTAL</x:v>
      </x:c>
      <x:c r="B10" s="333" t="n">
        <x:f>SUM(B7:B9)</x:f>
        <x:v>3.5900000000000003</x:v>
      </x:c>
      <x:c r="C10" s="333" t="n">
        <x:f>SUM(C7:C9)</x:f>
        <x:v>7.015000000000001</x:v>
      </x:c>
      <x:c r="D10" s="333" t="n">
        <x:f>SUM(D7:D9)</x:f>
        <x:v>13.42</x:v>
      </x:c>
      <x:c r="E10" s="333" t="n">
        <x:f>SUM(E7:E9)</x:f>
        <x:v>20.299999999999997</x:v>
      </x:c>
      <x:c r="F10" s="334" t="n">
        <x:f>SUM(F7:F9)</x:f>
        <x:v>34.08</x:v>
      </x:c>
      <x:c r="G10" s="123"/>
    </x:row>
    <x:row r="11" ht="15" hidden="0" customHeight="1">
      <x:c r="A11" s="123"/>
      <x:c r="B11" s="123"/>
      <x:c r="C11" s="123"/>
      <x:c r="D11" s="123"/>
      <x:c r="E11" s="123"/>
      <x:c r="F11" s="123"/>
      <x:c r="G11" s="123"/>
    </x:row>
    <x:row r="12" ht="15" hidden="0" customHeight="1">
      <x:c r="A12" s="123"/>
      <x:c r="B12" s="123"/>
      <x:c r="C12" s="123"/>
      <x:c r="D12" s="123"/>
      <x:c r="E12" s="123"/>
      <x:c r="F12" s="123"/>
      <x:c r="G12" s="123"/>
    </x:row>
    <x:row r="13" ht="15" hidden="0" customHeight="1">
      <x:c r="A13" s="123"/>
      <x:c r="B13" s="123"/>
      <x:c r="C13" s="123"/>
      <x:c r="D13" s="123"/>
      <x:c r="E13" s="123"/>
      <x:c r="F13" s="123"/>
      <x:c r="G13" s="123"/>
    </x:row>
    <x:row r="14" ht="15" hidden="0" customHeight="1">
      <x:c r="A14" s="123"/>
      <x:c r="B14" s="123"/>
      <x:c r="C14" s="123"/>
      <x:c r="D14" s="123"/>
      <x:c r="E14" s="123"/>
      <x:c r="F14" s="123"/>
      <x:c r="G14" s="123"/>
    </x:row>
    <x:row r="15" ht="15" hidden="0" customHeight="1">
      <x:c r="A15" s="123"/>
      <x:c r="B15" s="123"/>
      <x:c r="C15" s="123"/>
      <x:c r="D15" s="123"/>
      <x:c r="E15" s="123"/>
      <x:c r="F15" s="123"/>
      <x:c r="G15" s="123"/>
    </x:row>
    <x:row r="16" ht="15" hidden="0" customHeight="1">
      <x:c r="A16" s="123"/>
      <x:c r="B16" s="123"/>
      <x:c r="C16" s="123"/>
      <x:c r="D16" s="123"/>
      <x:c r="E16" s="123"/>
      <x:c r="F16" s="123"/>
      <x:c r="G16" s="123"/>
    </x:row>
    <x:row r="17" ht="15" hidden="0" customHeight="1">
      <x:c r="A17" s="123"/>
      <x:c r="B17" s="123"/>
      <x:c r="C17" s="123"/>
      <x:c r="D17" s="123"/>
      <x:c r="E17" s="123"/>
      <x:c r="F17" s="123"/>
      <x:c r="G17" s="123"/>
    </x:row>
    <x:row r="18" ht="15" hidden="0" customHeight="1">
      <x:c r="A18" s="123"/>
      <x:c r="B18" s="123"/>
      <x:c r="C18" s="123"/>
      <x:c r="D18" s="123"/>
      <x:c r="E18" s="123"/>
      <x:c r="F18" s="123"/>
      <x:c r="G18" s="123"/>
    </x:row>
    <x:row r="19" ht="15" hidden="0" customHeight="1">
      <x:c r="A19" s="123"/>
      <x:c r="B19" s="123"/>
      <x:c r="C19" s="123"/>
      <x:c r="D19" s="123"/>
      <x:c r="E19" s="123"/>
      <x:c r="F19" s="123"/>
      <x:c r="G19" s="123"/>
    </x:row>
    <x:row r="20" ht="15" hidden="0" customHeight="1">
      <x:c r="A20" s="123"/>
      <x:c r="B20" s="123"/>
      <x:c r="C20" s="123"/>
      <x:c r="D20" s="123"/>
      <x:c r="E20" s="123"/>
      <x:c r="F20" s="123"/>
      <x:c r="G20" s="123"/>
    </x:row>
    <x:row r="21" ht="15" hidden="0" customHeight="1">
      <x:c r="A21" s="123"/>
      <x:c r="B21" s="123"/>
      <x:c r="C21" s="123"/>
      <x:c r="D21" s="123"/>
      <x:c r="E21" s="123"/>
      <x:c r="F21" s="123"/>
      <x:c r="G21" s="123"/>
    </x:row>
    <x:row r="22" ht="15" hidden="0" customHeight="1">
      <x:c r="A22" s="123"/>
      <x:c r="B22" s="123"/>
      <x:c r="C22" s="123"/>
      <x:c r="D22" s="123"/>
      <x:c r="E22" s="123"/>
      <x:c r="F22" s="123"/>
      <x:c r="G22" s="123"/>
    </x:row>
  </x:sheetData>
  <x:mergeCells>
    <x:mergeCell ref="A1:H1"/>
    <x:mergeCell ref="A2:H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0.380001068115234" hidden="0" customWidth="1"/>
    <x:col min="2" max="2" width="4.130000114440918" hidden="0" customWidth="1"/>
    <x:col min="3" max="3" width="4.130000114440918" hidden="0" customWidth="1"/>
    <x:col min="4" max="4" width="4.130000114440918" hidden="0" customWidth="1"/>
    <x:col min="5" max="5" width="4.130000114440918" hidden="0" customWidth="1"/>
    <x:col min="6" max="6" width="4.630000114440918" hidden="0" customWidth="1"/>
    <x:col min="7" max="7" width="15" hidden="0" customWidth="1"/>
  </x:cols>
  <x:sheetData>
    <x:row r="1" ht="15" hidden="0" customHeight="1">
      <x:c r="A1" s="121" t="str">
        <x:v>09 Cash Capex WC</x:v>
      </x:c>
      <x:c r="B1" s="121"/>
      <x:c r="C1" s="121"/>
      <x:c r="D1" s="121"/>
      <x:c r="E1" s="121"/>
      <x:c r="F1" s="121"/>
      <x:c r="G1" s="121"/>
      <x:c r="H1" s="2"/>
    </x:row>
    <x:row r="2" ht="15" hidden="0" customHeight="1">
      <x:c r="A2" s="122" t="str">
        <x:v>FCF corregido: EBITDA - impuestos - capex - working capital; financiacion separada.</x:v>
      </x:c>
      <x:c r="B2" s="122"/>
      <x:c r="C2" s="122"/>
      <x:c r="D2" s="122"/>
      <x:c r="E2" s="122"/>
      <x:c r="F2" s="122"/>
      <x:c r="G2" s="122"/>
      <x:c r="H2" s="4"/>
    </x:row>
    <x:row r="3" ht="15" hidden="0" customHeight="1">
      <x:c r="A3" s="123"/>
      <x:c r="B3" s="123"/>
      <x:c r="C3" s="123"/>
      <x:c r="D3" s="123"/>
      <x:c r="E3" s="123"/>
      <x:c r="F3" s="123"/>
      <x:c r="G3" s="123"/>
    </x:row>
    <x:row r="4" ht="15" hidden="0" customHeight="1">
      <x:c r="A4" s="124" t="str">
        <x:v>Concepto</x:v>
      </x:c>
      <x:c r="B4" s="124" t="n">
        <x:v>2026</x:v>
      </x:c>
      <x:c r="C4" s="124" t="n">
        <x:v>2027</x:v>
      </x:c>
      <x:c r="D4" s="124" t="n">
        <x:v>2028</x:v>
      </x:c>
      <x:c r="E4" s="124" t="n">
        <x:v>2029</x:v>
      </x:c>
      <x:c r="F4" s="124" t="n">
        <x:v>2030</x:v>
      </x:c>
      <x:c r="G4" s="123"/>
    </x:row>
    <x:row r="5" ht="15" hidden="0" customHeight="1">
      <x:c r="A5" s="123" t="str">
        <x:v>EBITDA</x:v>
      </x:c>
      <x:c r="B5" s="332" t="n">
        <x:f>'07_Contribution'!B19</x:f>
        <x:v>-1.6247296000000002</x:v>
      </x:c>
      <x:c r="C5" s="332" t="n">
        <x:f>'07_Contribution'!C19</x:f>
        <x:v>1.9093797199999987</x:v>
      </x:c>
      <x:c r="D5" s="332" t="n">
        <x:f>'07_Contribution'!D19</x:f>
        <x:v>16.740104686000002</x:v>
      </x:c>
      <x:c r="E5" s="332" t="n">
        <x:f>'07_Contribution'!E19</x:f>
        <x:v>47.50524691</x:v>
      </x:c>
      <x:c r="F5" s="332" t="n">
        <x:f>'07_Contribution'!F19</x:f>
        <x:v>110.429601844</x:v>
      </x:c>
      <x:c r="G5" s="123"/>
    </x:row>
    <x:row r="6" ht="15" hidden="0" customHeight="1">
      <x:c r="A6" s="123" t="str">
        <x:v>Ingresos</x:v>
      </x:c>
      <x:c r="B6" s="332" t="n">
        <x:f>'06_Revenue'!B23</x:f>
        <x:v>2.96396</x:v>
      </x:c>
      <x:c r="C6" s="332" t="n">
        <x:f>'06_Revenue'!C23</x:f>
        <x:v>12.722894960000001</x:v>
      </x:c>
      <x:c r="D6" s="332" t="n">
        <x:f>'06_Revenue'!D23</x:f>
        <x:v>41.8669218</x:v>
      </x:c>
      <x:c r="E6" s="332" t="n">
        <x:f>'06_Revenue'!E23</x:f>
        <x:v>91.999629</x:v>
      </x:c>
      <x:c r="F6" s="332" t="n">
        <x:f>'06_Revenue'!F23</x:f>
        <x:v>188.89594419999997</x:v>
      </x:c>
      <x:c r="G6" s="123"/>
    </x:row>
    <x:row r="7" ht="15" hidden="0" customHeight="1">
      <x:c r="A7" s="123" t="str">
        <x:v>Crecimiento ingresos</x:v>
      </x:c>
      <x:c r="B7" s="332" t="n">
        <x:f>B6</x:f>
        <x:v>2.96396</x:v>
      </x:c>
      <x:c r="C7" s="332" t="n">
        <x:f>C6-B6</x:f>
        <x:v>9.758934960000001</x:v>
      </x:c>
      <x:c r="D7" s="332" t="n">
        <x:f>D6-C6</x:f>
        <x:v>29.14402684</x:v>
      </x:c>
      <x:c r="E7" s="332" t="n">
        <x:f>E6-D6</x:f>
        <x:v>50.1327072</x:v>
      </x:c>
      <x:c r="F7" s="332" t="n">
        <x:f>F6-E6</x:f>
        <x:v>96.89631519999998</x:v>
      </x:c>
      <x:c r="G7" s="123"/>
    </x:row>
    <x:row r="8" ht="15" hidden="0" customHeight="1">
      <x:c r="A8" s="123" t="str">
        <x:v>Working capital incremental</x:v>
      </x:c>
      <x:c r="B8" s="332" t="n">
        <x:f>-MAX(0,B7)*'01_Assumptions'!B43</x:f>
        <x:v>-0.41495440000000006</x:v>
      </x:c>
      <x:c r="C8" s="332" t="n">
        <x:f>-MAX(0,C7)*'01_Assumptions'!C43</x:f>
        <x:v>-1.4638402440000002</x:v>
      </x:c>
      <x:c r="D8" s="332" t="n">
        <x:f>-MAX(0,D7)*'01_Assumptions'!D43</x:f>
        <x:v>-4.6630442944</x:v>
      </x:c>
      <x:c r="E8" s="332" t="n">
        <x:f>-MAX(0,E7)*'01_Assumptions'!E43</x:f>
        <x:v>-8.522560224000001</x:v>
      </x:c>
      <x:c r="F8" s="332" t="n">
        <x:f>-MAX(0,F7)*'01_Assumptions'!F43</x:f>
        <x:v>-17.441336735999993</x:v>
      </x:c>
      <x:c r="G8" s="123"/>
    </x:row>
    <x:row r="9" ht="15" hidden="0" customHeight="1">
      <x:c r="A9" s="123" t="str">
        <x:v>Capex</x:v>
      </x:c>
      <x:c r="B9" s="332" t="n">
        <x:f>-'01_Assumptions'!B44</x:f>
        <x:v>-1.8</x:v>
      </x:c>
      <x:c r="C9" s="332" t="n">
        <x:f>-'01_Assumptions'!C44</x:f>
        <x:v>-2</x:v>
      </x:c>
      <x:c r="D9" s="332" t="n">
        <x:f>-'01_Assumptions'!D44</x:f>
        <x:v>-2.5</x:v>
      </x:c>
      <x:c r="E9" s="332" t="n">
        <x:f>-'01_Assumptions'!E44</x:f>
        <x:v>-3</x:v>
      </x:c>
      <x:c r="F9" s="332" t="n">
        <x:f>-'01_Assumptions'!F44</x:f>
        <x:v>-4</x:v>
      </x:c>
      <x:c r="G9" s="123"/>
    </x:row>
    <x:row r="10" ht="15" hidden="0" customHeight="1">
      <x:c r="A10" s="123" t="str">
        <x:v>Impuestos pagados</x:v>
      </x:c>
      <x:c r="B10" s="332" t="n">
        <x:f>-MAX(0,B5*'01_Assumptions'!B45)</x:f>
        <x:v>0</x:v>
      </x:c>
      <x:c r="C10" s="332" t="n">
        <x:f>-MAX(0,C5*'01_Assumptions'!C45)</x:f>
        <x:v>-0.47734492999999967</x:v>
      </x:c>
      <x:c r="D10" s="332" t="n">
        <x:f>-MAX(0,D5*'01_Assumptions'!D45)</x:f>
        <x:v>-4.185026171500001</x:v>
      </x:c>
      <x:c r="E10" s="332" t="n">
        <x:f>-MAX(0,E5*'01_Assumptions'!E45)</x:f>
        <x:v>-11.8763117275</x:v>
      </x:c>
      <x:c r="F10" s="332" t="n">
        <x:f>-MAX(0,F5*'01_Assumptions'!F45)</x:f>
        <x:v>-27.607400461</x:v>
      </x:c>
      <x:c r="G10" s="123"/>
    </x:row>
    <x:row r="11" ht="15" hidden="0" customHeight="1">
      <x:c r="A11" s="271" t="str">
        <x:v>FCF antes de financiacion</x:v>
      </x:c>
      <x:c r="B11" s="333" t="n">
        <x:f>SUM(B5,B8:B10)</x:f>
        <x:v>-3.839684</x:v>
      </x:c>
      <x:c r="C11" s="333" t="n">
        <x:f>SUM(C5,C8:C10)</x:f>
        <x:v>-2.031805454000001</x:v>
      </x:c>
      <x:c r="D11" s="333" t="n">
        <x:f>SUM(D5,D8:D10)</x:f>
        <x:v>5.392034220100001</x:v>
      </x:c>
      <x:c r="E11" s="333" t="n">
        <x:f>SUM(E5,E8:E10)</x:f>
        <x:v>24.1063749585</x:v>
      </x:c>
      <x:c r="F11" s="334" t="n">
        <x:f>SUM(F5,F8:F10)</x:f>
        <x:v>61.38086464700001</x:v>
      </x:c>
      <x:c r="G11" s="123"/>
    </x:row>
    <x:row r="12" ht="15" hidden="0" customHeight="1">
      <x:c r="A12" s="123" t="str">
        <x:v>Financiacion</x:v>
      </x:c>
      <x:c r="B12" s="332" t="n">
        <x:f>'01_Assumptions'!B46</x:f>
        <x:v>3.5</x:v>
      </x:c>
      <x:c r="C12" s="332" t="n">
        <x:f>'01_Assumptions'!C46</x:f>
        <x:v>3</x:v>
      </x:c>
      <x:c r="D12" s="332" t="n">
        <x:f>'01_Assumptions'!D46</x:f>
        <x:v>1.5</x:v>
      </x:c>
      <x:c r="E12" s="332" t="n">
        <x:f>'01_Assumptions'!E46</x:f>
        <x:v>0</x:v>
      </x:c>
      <x:c r="F12" s="332" t="n">
        <x:f>'01_Assumptions'!F46</x:f>
        <x:v>0</x:v>
      </x:c>
      <x:c r="G12" s="123"/>
    </x:row>
    <x:row r="13" ht="15" hidden="0" customHeight="1">
      <x:c r="A13" s="123" t="str">
        <x:v>Flujo neto caja</x:v>
      </x:c>
      <x:c r="B13" s="332" t="n">
        <x:f>B11+B12</x:f>
        <x:v>-0.3396840000000001</x:v>
      </x:c>
      <x:c r="C13" s="332" t="n">
        <x:f>C11+C12</x:f>
        <x:v>0.968194545999999</x:v>
      </x:c>
      <x:c r="D13" s="332" t="n">
        <x:f>D11+D12</x:f>
        <x:v>6.892034220100001</x:v>
      </x:c>
      <x:c r="E13" s="332" t="n">
        <x:f>E11+E12</x:f>
        <x:v>24.1063749585</x:v>
      </x:c>
      <x:c r="F13" s="332" t="n">
        <x:f>F11+F12</x:f>
        <x:v>61.38086464700001</x:v>
      </x:c>
      <x:c r="G13" s="123"/>
    </x:row>
    <x:row r="14" ht="15" hidden="0" customHeight="1">
      <x:c r="A14" s="271" t="str">
        <x:v>Caja final</x:v>
      </x:c>
      <x:c r="B14" s="333" t="n">
        <x:f>B13</x:f>
        <x:v>-0.3396840000000001</x:v>
      </x:c>
      <x:c r="C14" s="333" t="n">
        <x:f>B14+C13</x:f>
        <x:v>0.6285105459999989</x:v>
      </x:c>
      <x:c r="D14" s="333" t="n">
        <x:f>C14+D13</x:f>
        <x:v>7.5205447661000004</x:v>
      </x:c>
      <x:c r="E14" s="333" t="n">
        <x:f>D14+E13</x:f>
        <x:v>31.6269197246</x:v>
      </x:c>
      <x:c r="F14" s="334" t="n">
        <x:f>E14+F13</x:f>
        <x:v>93.00778437160001</x:v>
      </x:c>
      <x:c r="G14" s="123"/>
    </x:row>
    <x:row r="15" ht="15" hidden="0" customHeight="1">
      <x:c r="A15" s="123"/>
      <x:c r="B15" s="123"/>
      <x:c r="C15" s="123"/>
      <x:c r="D15" s="123"/>
      <x:c r="E15" s="123"/>
      <x:c r="F15" s="123"/>
      <x:c r="G15" s="123"/>
    </x:row>
    <x:row r="16" ht="15" hidden="0" customHeight="1">
      <x:c r="A16" s="123"/>
      <x:c r="B16" s="123"/>
      <x:c r="C16" s="123"/>
      <x:c r="D16" s="123"/>
      <x:c r="E16" s="123"/>
      <x:c r="F16" s="123"/>
      <x:c r="G16" s="123"/>
    </x:row>
    <x:row r="17" ht="15" hidden="0" customHeight="1">
      <x:c r="A17" s="123"/>
      <x:c r="B17" s="123"/>
      <x:c r="C17" s="123"/>
      <x:c r="D17" s="123"/>
      <x:c r="E17" s="123"/>
      <x:c r="F17" s="123"/>
      <x:c r="G17" s="123"/>
    </x:row>
    <x:row r="18" ht="15" hidden="0" customHeight="1">
      <x:c r="A18" s="123"/>
      <x:c r="B18" s="123"/>
      <x:c r="C18" s="123"/>
      <x:c r="D18" s="123"/>
      <x:c r="E18" s="123"/>
      <x:c r="F18" s="123"/>
      <x:c r="G18" s="123"/>
    </x:row>
    <x:row r="19" ht="15" hidden="0" customHeight="1">
      <x:c r="A19" s="123"/>
      <x:c r="B19" s="123"/>
      <x:c r="C19" s="123"/>
      <x:c r="D19" s="123"/>
      <x:c r="E19" s="123"/>
      <x:c r="F19" s="123"/>
      <x:c r="G19" s="123"/>
    </x:row>
    <x:row r="20" ht="15" hidden="0" customHeight="1">
      <x:c r="A20" s="123"/>
      <x:c r="B20" s="123"/>
      <x:c r="C20" s="123"/>
      <x:c r="D20" s="123"/>
      <x:c r="E20" s="123"/>
      <x:c r="F20" s="123"/>
      <x:c r="G20" s="123"/>
    </x:row>
    <x:row r="21" ht="15" hidden="0" customHeight="1">
      <x:c r="A21" s="123"/>
      <x:c r="B21" s="123"/>
      <x:c r="C21" s="123"/>
      <x:c r="D21" s="123"/>
      <x:c r="E21" s="123"/>
      <x:c r="F21" s="123"/>
      <x:c r="G21" s="123"/>
    </x:row>
    <x:row r="22" ht="15" hidden="0" customHeight="1">
      <x:c r="A22" s="123"/>
      <x:c r="B22" s="123"/>
      <x:c r="C22" s="123"/>
      <x:c r="D22" s="123"/>
      <x:c r="E22" s="123"/>
      <x:c r="F22" s="123"/>
      <x:c r="G22" s="123"/>
    </x:row>
    <x:row r="23" ht="15" hidden="0" customHeight="1">
      <x:c r="A23" s="123"/>
      <x:c r="B23" s="123"/>
      <x:c r="C23" s="123"/>
      <x:c r="D23" s="123"/>
      <x:c r="E23" s="123"/>
      <x:c r="F23" s="123"/>
      <x:c r="G23" s="123"/>
    </x:row>
    <x:row r="24" ht="15" hidden="0" customHeight="1">
      <x:c r="A24" s="123"/>
      <x:c r="B24" s="123"/>
      <x:c r="C24" s="123"/>
      <x:c r="D24" s="123"/>
      <x:c r="E24" s="123"/>
      <x:c r="F24" s="123"/>
      <x:c r="G24" s="123"/>
    </x:row>
    <x:row r="25" ht="15" hidden="0" customHeight="1">
      <x:c r="A25" s="123"/>
      <x:c r="B25" s="123"/>
      <x:c r="C25" s="123"/>
      <x:c r="D25" s="123"/>
      <x:c r="E25" s="123"/>
      <x:c r="F25" s="123"/>
      <x:c r="G25" s="123"/>
    </x:row>
    <x:row r="26" ht="15" hidden="0" customHeight="1">
      <x:c r="A26" s="123"/>
      <x:c r="B26" s="123"/>
      <x:c r="C26" s="123"/>
      <x:c r="D26" s="123"/>
      <x:c r="E26" s="123"/>
      <x:c r="F26" s="123"/>
      <x:c r="G26" s="123"/>
    </x:row>
    <x:row r="27" ht="15" hidden="0" customHeight="1">
      <x:c r="A27" s="123"/>
      <x:c r="B27" s="123"/>
      <x:c r="C27" s="123"/>
      <x:c r="D27" s="123"/>
      <x:c r="E27" s="123"/>
      <x:c r="F27" s="123"/>
      <x:c r="G27" s="123"/>
    </x:row>
    <x:row r="28" ht="15" hidden="0" customHeight="1">
      <x:c r="A28" s="123"/>
      <x:c r="B28" s="123"/>
      <x:c r="C28" s="123"/>
      <x:c r="D28" s="123"/>
      <x:c r="E28" s="123"/>
      <x:c r="F28" s="123"/>
      <x:c r="G28" s="123"/>
    </x:row>
  </x:sheetData>
  <x:mergeCells>
    <x:mergeCell ref="A1:H1"/>
    <x:mergeCell ref="A2:H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9.25" hidden="0" customWidth="1"/>
    <x:col min="2" max="2" width="12.880000114440918" hidden="0" customWidth="1"/>
    <x:col min="3" max="3" width="12.75" hidden="0" customWidth="1"/>
    <x:col min="4" max="4" width="40.880001068115234" hidden="0" customWidth="1"/>
    <x:col min="5" max="5" width="5.25" hidden="0" customWidth="1"/>
    <x:col min="6" max="6" width="6" hidden="0" customWidth="1"/>
    <x:col min="7" max="7" width="6.630000114440918" hidden="0" customWidth="1"/>
    <x:col min="8" max="8" width="6.380000114440918" hidden="0" customWidth="1"/>
    <x:col min="9" max="9" width="15" hidden="0" customWidth="1"/>
  </x:cols>
  <x:sheetData>
    <x:row r="1" ht="15" hidden="0" customHeight="1">
      <x:c r="A1" s="121" t="str">
        <x:v>10 Valuation</x:v>
      </x:c>
      <x:c r="B1" s="121"/>
      <x:c r="C1" s="121"/>
      <x:c r="D1" s="121"/>
      <x:c r="E1" s="121"/>
      <x:c r="F1" s="121"/>
      <x:c r="G1" s="121"/>
      <x:c r="H1" s="121"/>
      <x:c r="I1" s="123"/>
    </x:row>
    <x:row r="2" ht="15" hidden="0" customHeight="1">
      <x:c r="A2" s="122" t="str">
        <x:v>Valoracion por hitos, multiplos y suma de partes. EUR M salvo bridge 2027 en EUR.</x:v>
      </x:c>
      <x:c r="B2" s="122"/>
      <x:c r="C2" s="122"/>
      <x:c r="D2" s="122"/>
      <x:c r="E2" s="122"/>
      <x:c r="F2" s="122"/>
      <x:c r="G2" s="122"/>
      <x:c r="H2" s="122"/>
      <x:c r="I2" s="123"/>
    </x:row>
    <x:row r="3" ht="15" hidden="0" customHeight="1">
      <x:c r="A3" s="123"/>
      <x:c r="B3" s="123"/>
      <x:c r="C3" s="123"/>
      <x:c r="D3" s="123"/>
      <x:c r="E3" s="123"/>
      <x:c r="F3" s="123"/>
      <x:c r="G3" s="123"/>
      <x:c r="H3" s="123"/>
      <x:c r="I3" s="123"/>
    </x:row>
    <x:row r="4" ht="15" hidden="0" customHeight="1">
      <x:c r="A4" s="124" t="str">
        <x:v>Concepto</x:v>
      </x:c>
      <x:c r="B4" s="124" t="n">
        <x:v>2026</x:v>
      </x:c>
      <x:c r="C4" s="124" t="n">
        <x:v>2027</x:v>
      </x:c>
      <x:c r="D4" s="124" t="n">
        <x:v>2028</x:v>
      </x:c>
      <x:c r="E4" s="124" t="n">
        <x:v>2029</x:v>
      </x:c>
      <x:c r="F4" s="124" t="n">
        <x:v>2030</x:v>
      </x:c>
      <x:c r="G4" s="123"/>
      <x:c r="H4" s="123"/>
      <x:c r="I4" s="123"/>
    </x:row>
    <x:row r="5" ht="15" hidden="0" customHeight="1">
      <x:c r="A5" s="123" t="str">
        <x:v>EV metodo ingresos</x:v>
      </x:c>
      <x:c r="B5" s="332" t="n">
        <x:f>'06_Revenue'!B23*'01_Assumptions'!B47</x:f>
        <x:v>14.8198</x:v>
      </x:c>
      <x:c r="C5" s="332" t="n">
        <x:f>'06_Revenue'!C23*'01_Assumptions'!C47</x:f>
        <x:v>69.97592228</x:v>
      </x:c>
      <x:c r="D5" s="332" t="n">
        <x:f>'06_Revenue'!D23*'01_Assumptions'!D47</x:f>
        <x:v>251.2015308</x:v>
      </x:c>
      <x:c r="E5" s="332" t="n">
        <x:f>'06_Revenue'!E23*'01_Assumptions'!E47</x:f>
        <x:v>597.9975885</x:v>
      </x:c>
      <x:c r="F5" s="332" t="n">
        <x:f>'06_Revenue'!F23*'01_Assumptions'!F47</x:f>
        <x:v>1322.2716093999998</x:v>
      </x:c>
      <x:c r="G5" s="123"/>
      <x:c r="H5" s="123"/>
      <x:c r="I5" s="123"/>
    </x:row>
    <x:row r="6" ht="15" hidden="0" customHeight="1">
      <x:c r="A6" s="123" t="str">
        <x:v>EV metodo EBITDA</x:v>
      </x:c>
      <x:c r="B6" s="332" t="n">
        <x:f>MAX(0,'07_Contribution'!B19*'01_Assumptions'!B48)</x:f>
        <x:v>0</x:v>
      </x:c>
      <x:c r="C6" s="332" t="n">
        <x:f>MAX(0,'07_Contribution'!C19*'01_Assumptions'!C48)</x:f>
        <x:v>26.73131607999998</x:v>
      </x:c>
      <x:c r="D6" s="332" t="n">
        <x:f>MAX(0,'07_Contribution'!D19*'01_Assumptions'!D48)</x:f>
        <x:v>251.10157029000004</x:v>
      </x:c>
      <x:c r="E6" s="332" t="n">
        <x:f>MAX(0,'07_Contribution'!E19*'01_Assumptions'!E48)</x:f>
        <x:v>760.08395056</x:v>
      </x:c>
      <x:c r="F6" s="332" t="n">
        <x:f>MAX(0,'07_Contribution'!F19*'01_Assumptions'!F48)</x:f>
        <x:v>1877.303231348</x:v>
      </x:c>
      <x:c r="G6" s="123"/>
      <x:c r="H6" s="123"/>
      <x:c r="I6" s="123"/>
    </x:row>
    <x:row r="7" ht="15" hidden="0" customHeight="1">
      <x:c r="A7" s="271" t="str">
        <x:v>EV midpoint</x:v>
      </x:c>
      <x:c r="B7" s="333" t="n">
        <x:f>AVERAGE(B5:B6)</x:f>
        <x:v>7.4099</x:v>
      </x:c>
      <x:c r="C7" s="333" t="n">
        <x:f>AVERAGE(C5:C6)</x:f>
        <x:v>48.353619179999995</x:v>
      </x:c>
      <x:c r="D7" s="333" t="n">
        <x:f>AVERAGE(D5:D6)</x:f>
        <x:v>251.15155054500002</x:v>
      </x:c>
      <x:c r="E7" s="333" t="n">
        <x:f>AVERAGE(E5:E6)</x:f>
        <x:v>679.04076953</x:v>
      </x:c>
      <x:c r="F7" s="334" t="n">
        <x:f>AVERAGE(F5:F6)</x:f>
        <x:v>1599.7874203739998</x:v>
      </x:c>
      <x:c r="G7" s="123"/>
      <x:c r="H7" s="123"/>
      <x:c r="I7" s="123"/>
    </x:row>
    <x:row r="8" ht="15" hidden="0" customHeight="1">
      <x:c r="A8" s="123"/>
      <x:c r="B8" s="123"/>
      <x:c r="C8" s="123"/>
      <x:c r="D8" s="123"/>
      <x:c r="E8" s="123"/>
      <x:c r="F8" s="123"/>
      <x:c r="G8" s="123"/>
      <x:c r="H8" s="123"/>
      <x:c r="I8" s="123"/>
    </x:row>
    <x:row r="9" ht="15" hidden="0" customHeight="1">
      <x:c r="A9" s="123"/>
      <x:c r="B9" s="123"/>
      <x:c r="C9" s="123"/>
      <x:c r="D9" s="123"/>
      <x:c r="E9" s="123"/>
      <x:c r="F9" s="123"/>
      <x:c r="G9" s="123"/>
      <x:c r="H9" s="123"/>
      <x:c r="I9" s="123"/>
    </x:row>
    <x:row r="10" ht="15" hidden="0" customHeight="1">
      <x:c r="A10" s="124" t="str">
        <x:v>Bridge valoracion 2026-2027</x:v>
      </x:c>
      <x:c r="B10" s="124" t="str">
        <x:v>Incremento EUR</x:v>
      </x:c>
      <x:c r="C10" s="124" t="str">
        <x:v>Acumulado EUR</x:v>
      </x:c>
      <x:c r="D10" s="124" t="str">
        <x:v>Evidencia requerida</x:v>
      </x:c>
      <x:c r="E10" s="123"/>
      <x:c r="F10" s="123"/>
      <x:c r="G10" s="123"/>
      <x:c r="H10" s="123"/>
      <x:c r="I10" s="123"/>
    </x:row>
    <x:row r="11" ht="15" hidden="0" customHeight="1">
      <x:c r="A11" s="123" t="str">
        <x:v>Valor actual defendido</x:v>
      </x:c>
      <x:c r="B11" s="266" t="n">
        <x:v>4216175</x:v>
      </x:c>
      <x:c r="C11" s="266" t="n">
        <x:f>B11</x:f>
        <x:v>4216175</x:v>
      </x:c>
      <x:c r="D11" s="123" t="str">
        <x:v>Informe inversor, memoria de inversion, activos, demos</x:v>
      </x:c>
      <x:c r="E11" s="123"/>
      <x:c r="F11" s="123"/>
      <x:c r="G11" s="123"/>
      <x:c r="H11" s="123"/>
      <x:c r="I11" s="123"/>
    </x:row>
    <x:row r="12" ht="15" hidden="0" customHeight="1">
      <x:c r="A12" s="123" t="str">
        <x:v>Producto CUEVA OS comercializable</x:v>
      </x:c>
      <x:c r="B12" s="266" t="n">
        <x:v>1200000</x:v>
      </x:c>
      <x:c r="C12" s="266" t="n">
        <x:f>C11+B12</x:f>
        <x:v>5416175</x:v>
      </x:c>
      <x:c r="D12" s="123" t="str">
        <x:v>Release, demo, QA, documentacion, seguridad</x:v>
      </x:c>
      <x:c r="E12" s="123"/>
      <x:c r="F12" s="123"/>
      <x:c r="G12" s="123"/>
      <x:c r="H12" s="123"/>
      <x:c r="I12" s="123"/>
    </x:row>
    <x:row r="13" ht="15" hidden="0" customHeight="1">
      <x:c r="A13" s="123" t="str">
        <x:v>Casos y validacion industrial</x:v>
      </x:c>
      <x:c r="B13" s="266" t="n">
        <x:v>900000</x:v>
      </x:c>
      <x:c r="C13" s="266" t="n">
        <x:f>C12+B13</x:f>
        <x:v>6316175</x:v>
      </x:c>
      <x:c r="D13" s="123" t="str">
        <x:v>Piedrahita, Menorca, Llar de Mar 2 con POI/DPP</x:v>
      </x:c>
      <x:c r="E13" s="123"/>
      <x:c r="F13" s="123"/>
      <x:c r="G13" s="123"/>
      <x:c r="H13" s="123"/>
      <x:c r="I13" s="123"/>
    </x:row>
    <x:row r="14" ht="15" hidden="0" customHeight="1">
      <x:c r="A14" s="123" t="str">
        <x:v>Hub OADAC operativo</x:v>
      </x:c>
      <x:c r="B14" s="266" t="n">
        <x:v>800000</x:v>
      </x:c>
      <x:c r="C14" s="266" t="n">
        <x:f>C13+B14</x:f>
        <x:v>7116175</x:v>
      </x:c>
      <x:c r="D14" s="123" t="str">
        <x:v>Acuerdo hub, showroom, visitas y primer proyecto</x:v>
      </x:c>
      <x:c r="E14" s="123"/>
      <x:c r="F14" s="123"/>
      <x:c r="G14" s="123"/>
      <x:c r="H14" s="123"/>
      <x:c r="I14" s="123"/>
    </x:row>
    <x:row r="15" ht="15" hidden="0" customHeight="1">
      <x:c r="A15" s="123" t="str">
        <x:v>Monetizacion de red demostrada</x:v>
      </x:c>
      <x:c r="B15" s="266" t="n">
        <x:v>850000</x:v>
      </x:c>
      <x:c r="C15" s="266" t="n">
        <x:f>C14+B15</x:f>
        <x:v>7966175</x:v>
      </x:c>
      <x:c r="D15" s="123" t="str">
        <x:v>Primer fabricante y montador digitalizados + fees 2,5/2,5</x:v>
      </x:c>
      <x:c r="E15" s="123"/>
      <x:c r="F15" s="123"/>
      <x:c r="G15" s="123"/>
      <x:c r="H15" s="123"/>
      <x:c r="I15" s="123"/>
    </x:row>
    <x:row r="16" ht="15" hidden="0" customHeight="1">
      <x:c r="A16" s="123" t="str">
        <x:v>Pipeline e ingresos 2027</x:v>
      </x:c>
      <x:c r="B16" s="266" t="n">
        <x:v>950000</x:v>
      </x:c>
      <x:c r="C16" s="266" t="n">
        <x:f>C15+B16</x:f>
        <x:v>8916175</x:v>
      </x:c>
      <x:c r="D16" s="123" t="str">
        <x:v>Contratos, facturas, cobros, P&amp;L y EBITDA positivo</x:v>
      </x:c>
      <x:c r="E16" s="123"/>
      <x:c r="F16" s="123"/>
      <x:c r="G16" s="123"/>
      <x:c r="H16" s="123"/>
      <x:c r="I16" s="123"/>
    </x:row>
    <x:row r="17" ht="15" hidden="0" customHeight="1">
      <x:c r="A17" s="123" t="str">
        <x:v>KIWA/RMOOB proyecto unico</x:v>
      </x:c>
      <x:c r="B17" s="266" t="n">
        <x:v>400000</x:v>
      </x:c>
      <x:c r="C17" s="266" t="n">
        <x:f>C16+B17</x:f>
        <x:v>9316175</x:v>
      </x:c>
      <x:c r="D17" s="123" t="str">
        <x:v>Contrato unico de 400k, alcance y cobros por hitos</x:v>
      </x:c>
      <x:c r="E17" s="123"/>
      <x:c r="F17" s="123"/>
      <x:c r="G17" s="123"/>
      <x:c r="H17" s="123"/>
      <x:c r="I17" s="123"/>
    </x:row>
    <x:row r="18" ht="15" hidden="0" customHeight="1">
      <x:c r="A18" s="123" t="str">
        <x:v>Gobierno, data room y repetibilidad</x:v>
      </x:c>
      <x:c r="B18" s="266" t="n">
        <x:v>350000</x:v>
      </x:c>
      <x:c r="C18" s="266" t="n">
        <x:f>C17+B18</x:f>
        <x:v>9666175</x:v>
      </x:c>
      <x:c r="D18" s="123" t="str">
        <x:v>Contratos tipo, unit economics, KPIs y evidencias</x:v>
      </x:c>
      <x:c r="E18" s="123"/>
      <x:c r="F18" s="123"/>
      <x:c r="G18" s="123"/>
      <x:c r="H18" s="123"/>
      <x:c r="I18" s="123"/>
    </x:row>
    <x:row r="19" ht="15" hidden="0" customHeight="1">
      <x:c r="A19" s="123" t="str">
        <x:v>Opcionalidad estrategica y mercado</x:v>
      </x:c>
      <x:c r="B19" s="266" t="n">
        <x:v>150000</x:v>
      </x:c>
      <x:c r="C19" s="266" t="n">
        <x:f>C18+B19</x:f>
        <x:v>9816175</x:v>
      </x:c>
      <x:c r="D19" s="123" t="str">
        <x:v>CRM, partners, verticales y conversion</x:v>
      </x:c>
      <x:c r="E19" s="123"/>
      <x:c r="F19" s="123"/>
      <x:c r="G19" s="123"/>
      <x:c r="H19" s="123"/>
      <x:c r="I19" s="123"/>
    </x:row>
    <x:row r="20" ht="15" hidden="0" customHeight="1">
      <x:c r="A20" s="123" t="str">
        <x:v>Haircut prudencia para objetivo defendido</x:v>
      </x:c>
      <x:c r="B20" s="266" t="n">
        <x:v>-316175</x:v>
      </x:c>
      <x:c r="C20" s="266" t="n">
        <x:f>C19+B20</x:f>
        <x:v>9500000</x:v>
      </x:c>
      <x:c r="D20" s="123" t="str">
        <x:v>Ancla comercial: 9,5M EUR, rango 8-12M</x:v>
      </x:c>
      <x:c r="E20" s="123"/>
      <x:c r="F20" s="123"/>
      <x:c r="G20" s="123"/>
      <x:c r="H20" s="123"/>
      <x:c r="I20" s="123"/>
    </x:row>
    <x:row r="21" ht="15" hidden="0" customHeight="1">
      <x:c r="A21" s="271" t="str">
        <x:v>VALOR OBJETIVO FIN 2027</x:v>
      </x:c>
      <x:c r="B21" s="310" t="str"/>
      <x:c r="C21" s="310" t="n">
        <x:f>C20</x:f>
        <x:v>9500000</x:v>
      </x:c>
      <x:c r="D21" s="274" t="str">
        <x:v>Objetivo de gestion, no tasacion independiente</x:v>
      </x:c>
      <x:c r="E21" s="123"/>
      <x:c r="F21" s="123"/>
      <x:c r="G21" s="123"/>
      <x:c r="H21" s="123"/>
      <x:c r="I21" s="123"/>
    </x:row>
    <x:row r="22" ht="15" hidden="0" customHeight="1">
      <x:c r="A22" s="123"/>
      <x:c r="B22" s="123"/>
      <x:c r="C22" s="123"/>
      <x:c r="D22" s="123"/>
      <x:c r="E22" s="123"/>
      <x:c r="F22" s="123"/>
      <x:c r="G22" s="123"/>
      <x:c r="H22" s="123"/>
      <x:c r="I22" s="123"/>
    </x:row>
    <x:row r="23" ht="15" hidden="0" customHeight="1">
      <x:c r="A23" s="123"/>
      <x:c r="B23" s="123"/>
      <x:c r="C23" s="123"/>
      <x:c r="D23" s="123"/>
      <x:c r="E23" s="123"/>
      <x:c r="F23" s="123"/>
      <x:c r="G23" s="123"/>
      <x:c r="H23" s="123"/>
      <x:c r="I23" s="123"/>
    </x:row>
    <x:row r="24" ht="15" hidden="0" customHeight="1">
      <x:c r="A24" s="124" t="str">
        <x:v>SOTP 2030</x:v>
      </x:c>
      <x:c r="B24" s="124" t="str">
        <x:v>Ingresos</x:v>
      </x:c>
      <x:c r="C24" s="124" t="str">
        <x:v>Low x</x:v>
      </x:c>
      <x:c r="D24" s="124" t="str">
        <x:v>Base x</x:v>
      </x:c>
      <x:c r="E24" s="124" t="str">
        <x:v>High x</x:v>
      </x:c>
      <x:c r="F24" s="124" t="str">
        <x:v>EV Low</x:v>
      </x:c>
      <x:c r="G24" s="124" t="str">
        <x:v>EV Base</x:v>
      </x:c>
      <x:c r="H24" s="124" t="str">
        <x:v>EV High</x:v>
      </x:c>
      <x:c r="I24" s="123"/>
    </x:row>
    <x:row r="25" ht="15" hidden="0" customHeight="1">
      <x:c r="A25" s="123" t="str">
        <x:v>Core Asset OS ejecucion</x:v>
      </x:c>
      <x:c r="B25" s="332" t="n">
        <x:f>SUM('06_Revenue'!F5:F13)</x:f>
        <x:v>97.751375</x:v>
      </x:c>
      <x:c r="C25" s="332" t="n">
        <x:v>4.5</x:v>
      </x:c>
      <x:c r="D25" s="332" t="n">
        <x:v>6</x:v>
      </x:c>
      <x:c r="E25" s="332" t="n">
        <x:v>7.5</x:v>
      </x:c>
      <x:c r="F25" s="332" t="n">
        <x:f>B25*C25</x:f>
        <x:v>439.8811875</x:v>
      </x:c>
      <x:c r="G25" s="332" t="n">
        <x:f>B25*D25</x:f>
        <x:v>586.50825</x:v>
      </x:c>
      <x:c r="H25" s="332" t="n">
        <x:f>B25*E25</x:f>
        <x:v>733.1353124999999</x:v>
      </x:c>
      <x:c r="I25" s="123"/>
    </x:row>
    <x:row r="26" ht="15" hidden="0" customHeight="1">
      <x:c r="A26" s="123" t="str">
        <x:v>Evidencia / Red / Datos</x:v>
      </x:c>
      <x:c r="B26" s="332" t="n">
        <x:f>SUM('06_Revenue'!F14:F15)</x:f>
        <x:v>24.4631292</x:v>
      </x:c>
      <x:c r="C26" s="332" t="n">
        <x:v>7</x:v>
      </x:c>
      <x:c r="D26" s="332" t="n">
        <x:v>9</x:v>
      </x:c>
      <x:c r="E26" s="332" t="n">
        <x:v>11</x:v>
      </x:c>
      <x:c r="F26" s="332" t="n">
        <x:f>B26*C26</x:f>
        <x:v>171.2419044</x:v>
      </x:c>
      <x:c r="G26" s="332" t="n">
        <x:f>B26*D26</x:f>
        <x:v>220.1681628</x:v>
      </x:c>
      <x:c r="H26" s="332" t="n">
        <x:f>B26*E26</x:f>
        <x:v>269.0944212</x:v>
      </x:c>
      <x:c r="I26" s="123"/>
    </x:row>
    <x:row r="27" ht="15" hidden="0" customHeight="1">
      <x:c r="A27" s="123" t="str">
        <x:v>iPath infraestructura urbana</x:v>
      </x:c>
      <x:c r="B27" s="332" t="n">
        <x:f>'06_Revenue'!F18</x:f>
        <x:v>33.91</x:v>
      </x:c>
      <x:c r="C27" s="332" t="n">
        <x:v>2.5</x:v>
      </x:c>
      <x:c r="D27" s="332" t="n">
        <x:v>4</x:v>
      </x:c>
      <x:c r="E27" s="332" t="n">
        <x:v>5.5</x:v>
      </x:c>
      <x:c r="F27" s="332" t="n">
        <x:f>B27*C27</x:f>
        <x:v>84.77499999999999</x:v>
      </x:c>
      <x:c r="G27" s="332" t="n">
        <x:f>B27*D27</x:f>
        <x:v>135.64</x:v>
      </x:c>
      <x:c r="H27" s="332" t="n">
        <x:f>B27*E27</x:f>
        <x:v>186.505</x:v>
      </x:c>
      <x:c r="I27" s="123"/>
    </x:row>
    <x:row r="28" ht="15" hidden="0" customHeight="1">
      <x:c r="A28" s="123" t="str">
        <x:v>Marketplace / comunidad</x:v>
      </x:c>
      <x:c r="B28" s="332" t="n">
        <x:f>'06_Revenue'!F22</x:f>
        <x:v>8.77144</x:v>
      </x:c>
      <x:c r="C28" s="332" t="n">
        <x:v>3</x:v>
      </x:c>
      <x:c r="D28" s="332" t="n">
        <x:v>5</x:v>
      </x:c>
      <x:c r="E28" s="332" t="n">
        <x:v>7</x:v>
      </x:c>
      <x:c r="F28" s="332" t="n">
        <x:f>B28*C28</x:f>
        <x:v>26.314320000000002</x:v>
      </x:c>
      <x:c r="G28" s="332" t="n">
        <x:f>B28*D28</x:f>
        <x:v>43.8572</x:v>
      </x:c>
      <x:c r="H28" s="332" t="n">
        <x:f>B28*E28</x:f>
        <x:v>61.40008</x:v>
      </x:c>
      <x:c r="I28" s="123"/>
    </x:row>
    <x:row r="29" ht="15" hidden="0" customHeight="1">
      <x:c r="A29" s="123" t="str">
        <x:v>Moolde</x:v>
      </x:c>
      <x:c r="B29" s="332" t="n">
        <x:f>'06_Revenue'!F19</x:f>
        <x:v>3</x:v>
      </x:c>
      <x:c r="C29" s="332" t="n">
        <x:v>5</x:v>
      </x:c>
      <x:c r="D29" s="332" t="n">
        <x:v>8</x:v>
      </x:c>
      <x:c r="E29" s="332" t="n">
        <x:v>10</x:v>
      </x:c>
      <x:c r="F29" s="332" t="n">
        <x:f>B29*C29</x:f>
        <x:v>15</x:v>
      </x:c>
      <x:c r="G29" s="332" t="n">
        <x:f>B29*D29</x:f>
        <x:v>24</x:v>
      </x:c>
      <x:c r="H29" s="332" t="n">
        <x:f>B29*E29</x:f>
        <x:v>30</x:v>
      </x:c>
      <x:c r="I29" s="123"/>
    </x:row>
    <x:row r="30" ht="15" hidden="0" customHeight="1">
      <x:c r="A30" s="123" t="str">
        <x:v>Internacional</x:v>
      </x:c>
      <x:c r="B30" s="332" t="n">
        <x:f>'06_Revenue'!F20</x:f>
        <x:v>12</x:v>
      </x:c>
      <x:c r="C30" s="332" t="n">
        <x:v>3.5</x:v>
      </x:c>
      <x:c r="D30" s="332" t="n">
        <x:v>5.5</x:v>
      </x:c>
      <x:c r="E30" s="332" t="n">
        <x:v>7.5</x:v>
      </x:c>
      <x:c r="F30" s="332" t="n">
        <x:f>B30*C30</x:f>
        <x:v>42</x:v>
      </x:c>
      <x:c r="G30" s="332" t="n">
        <x:f>B30*D30</x:f>
        <x:v>66</x:v>
      </x:c>
      <x:c r="H30" s="332" t="n">
        <x:f>B30*E30</x:f>
        <x:v>90</x:v>
      </x:c>
      <x:c r="I30" s="123"/>
    </x:row>
    <x:row r="31" ht="15" hidden="0" customHeight="1">
      <x:c r="A31" s="123" t="str">
        <x:v>Capa financiera</x:v>
      </x:c>
      <x:c r="B31" s="332" t="n">
        <x:f>'06_Revenue'!F21</x:f>
        <x:v>9</x:v>
      </x:c>
      <x:c r="C31" s="332" t="n">
        <x:v>6</x:v>
      </x:c>
      <x:c r="D31" s="332" t="n">
        <x:v>8</x:v>
      </x:c>
      <x:c r="E31" s="332" t="n">
        <x:v>10</x:v>
      </x:c>
      <x:c r="F31" s="332" t="n">
        <x:f>B31*C31</x:f>
        <x:v>54</x:v>
      </x:c>
      <x:c r="G31" s="332" t="n">
        <x:f>B31*D31</x:f>
        <x:v>72</x:v>
      </x:c>
      <x:c r="H31" s="332" t="n">
        <x:f>B31*E31</x:f>
        <x:v>90</x:v>
      </x:c>
      <x:c r="I31" s="123"/>
    </x:row>
    <x:row r="32" ht="15" hidden="0" customHeight="1">
      <x:c r="A32" s="271" t="str">
        <x:v>TOTAL SOTP</x:v>
      </x:c>
      <x:c r="B32" s="333" t="n">
        <x:f>SUM(B25:B31)</x:f>
        <x:v>188.8959442</x:v>
      </x:c>
      <x:c r="C32" s="333" t="str"/>
      <x:c r="D32" s="333" t="str"/>
      <x:c r="E32" s="333" t="str"/>
      <x:c r="F32" s="333" t="n">
        <x:f>SUM(F25:F31)</x:f>
        <x:v>833.2124118999999</x:v>
      </x:c>
      <x:c r="G32" s="333" t="n">
        <x:f>SUM(G25:G31)</x:f>
        <x:v>1148.1736128</x:v>
      </x:c>
      <x:c r="H32" s="334" t="n">
        <x:f>SUM(H25:H31)</x:f>
        <x:v>1460.1348137</x:v>
      </x:c>
      <x:c r="I32" s="123"/>
    </x:row>
    <x:row r="33" ht="15" hidden="0" customHeight="1">
      <x:c r="A33" s="123"/>
      <x:c r="B33" s="332"/>
      <x:c r="C33" s="332"/>
      <x:c r="D33" s="332"/>
      <x:c r="E33" s="332"/>
      <x:c r="F33" s="332"/>
      <x:c r="G33" s="332"/>
      <x:c r="H33" s="332"/>
      <x:c r="I33" s="123"/>
    </x:row>
    <x:row r="34" ht="15" hidden="0" customHeight="1">
      <x:c r="A34" s="123" t="str">
        <x:v>Headroom vs unicorn threshold</x:v>
      </x:c>
      <x:c r="B34" s="332" t="n">
        <x:f>'10_Valuation'!F7-1000</x:f>
        <x:v>599.7874203739998</x:v>
      </x:c>
      <x:c r="C34" s="332" t="n">
        <x:f>'10_Valuation'!G32-1000</x:f>
        <x:v>148.1736128</x:v>
      </x:c>
      <x:c r="D34" s="332" t="str"/>
      <x:c r="E34" s="332" t="str"/>
      <x:c r="F34" s="332" t="str"/>
      <x:c r="G34" s="332" t="str"/>
      <x:c r="H34" s="332" t="str"/>
      <x:c r="I34" s="123"/>
    </x:row>
    <x:row r="35" ht="15" hidden="0" customHeight="1">
      <x:c r="A35" s="123"/>
      <x:c r="B35" s="123"/>
      <x:c r="C35" s="123"/>
      <x:c r="D35" s="123"/>
      <x:c r="E35" s="123"/>
      <x:c r="F35" s="123"/>
      <x:c r="G35" s="123"/>
      <x:c r="H35" s="123"/>
      <x:c r="I35" s="123"/>
    </x:row>
    <x:row r="36" ht="15" hidden="0" customHeight="1">
      <x:c r="A36" s="123"/>
      <x:c r="B36" s="123"/>
      <x:c r="C36" s="123"/>
      <x:c r="D36" s="123"/>
      <x:c r="E36" s="123"/>
      <x:c r="F36" s="123"/>
      <x:c r="G36" s="123"/>
      <x:c r="H36" s="123"/>
      <x:c r="I36" s="123"/>
    </x:row>
    <x:row r="37" ht="15" hidden="0" customHeight="1">
      <x:c r="A37" s="123"/>
      <x:c r="B37" s="123"/>
      <x:c r="C37" s="123"/>
      <x:c r="D37" s="123"/>
      <x:c r="E37" s="123"/>
      <x:c r="F37" s="123"/>
      <x:c r="G37" s="123"/>
      <x:c r="H37" s="123"/>
      <x:c r="I37" s="123"/>
    </x:row>
    <x:row r="38" ht="15" hidden="0" customHeight="1">
      <x:c r="A38" s="123"/>
      <x:c r="B38" s="123"/>
      <x:c r="C38" s="123"/>
      <x:c r="D38" s="123"/>
      <x:c r="E38" s="123"/>
      <x:c r="F38" s="123"/>
      <x:c r="G38" s="123"/>
      <x:c r="H38" s="123"/>
      <x:c r="I38" s="123"/>
    </x:row>
    <x:row r="39" ht="15" hidden="0" customHeight="1">
      <x:c r="A39" s="123"/>
      <x:c r="B39" s="123"/>
      <x:c r="C39" s="123"/>
      <x:c r="D39" s="123"/>
      <x:c r="E39" s="123"/>
      <x:c r="F39" s="123"/>
      <x:c r="G39" s="123"/>
      <x:c r="H39" s="123"/>
      <x:c r="I39" s="123"/>
    </x:row>
    <x:row r="40" ht="15" hidden="0" customHeight="1">
      <x:c r="A40" s="123"/>
      <x:c r="B40" s="123"/>
      <x:c r="C40" s="123"/>
      <x:c r="D40" s="123"/>
      <x:c r="E40" s="123"/>
      <x:c r="F40" s="123"/>
      <x:c r="G40" s="123"/>
      <x:c r="H40" s="123"/>
      <x:c r="I40" s="123"/>
    </x:row>
    <x:row r="41" ht="15" hidden="0" customHeight="1">
      <x:c r="A41" s="123"/>
      <x:c r="B41" s="123"/>
      <x:c r="C41" s="123"/>
      <x:c r="D41" s="123"/>
      <x:c r="E41" s="123"/>
      <x:c r="F41" s="123"/>
      <x:c r="G41" s="123"/>
      <x:c r="H41" s="123"/>
      <x:c r="I41" s="123"/>
    </x:row>
    <x:row r="42" ht="15" hidden="0" customHeight="1">
      <x:c r="A42" s="123"/>
      <x:c r="B42" s="123"/>
      <x:c r="C42" s="123"/>
      <x:c r="D42" s="123"/>
      <x:c r="E42" s="123"/>
      <x:c r="F42" s="123"/>
      <x:c r="G42" s="123"/>
      <x:c r="H42" s="123"/>
      <x:c r="I42" s="123"/>
    </x:row>
    <x:row r="43" ht="15" hidden="0" customHeight="1">
      <x:c r="A43" s="123"/>
      <x:c r="B43" s="123"/>
      <x:c r="C43" s="123"/>
      <x:c r="D43" s="123"/>
      <x:c r="E43" s="123"/>
      <x:c r="F43" s="123"/>
      <x:c r="G43" s="123"/>
      <x:c r="H43" s="123"/>
      <x:c r="I43" s="123"/>
    </x:row>
    <x:row r="44" ht="15" hidden="0" customHeight="1">
      <x:c r="A44" s="123"/>
      <x:c r="B44" s="123"/>
      <x:c r="C44" s="123"/>
      <x:c r="D44" s="123"/>
      <x:c r="E44" s="123"/>
      <x:c r="F44" s="123"/>
      <x:c r="G44" s="123"/>
      <x:c r="H44" s="123"/>
      <x:c r="I44" s="123"/>
    </x:row>
    <x:row r="45" ht="15" hidden="0" customHeight="1">
      <x:c r="A45" s="123"/>
      <x:c r="B45" s="123"/>
      <x:c r="C45" s="123"/>
      <x:c r="D45" s="123"/>
      <x:c r="E45" s="123"/>
      <x:c r="F45" s="123"/>
      <x:c r="G45" s="123"/>
      <x:c r="H45" s="123"/>
      <x:c r="I45" s="123"/>
    </x:row>
    <x:row r="46" ht="15" hidden="0" customHeight="1">
      <x:c r="A46" s="123"/>
      <x:c r="B46" s="123"/>
      <x:c r="C46" s="123"/>
      <x:c r="D46" s="123"/>
      <x:c r="E46" s="123"/>
      <x:c r="F46" s="123"/>
      <x:c r="G46" s="123"/>
      <x:c r="H46" s="123"/>
      <x:c r="I46" s="123"/>
    </x:row>
    <x:row r="47" ht="15" hidden="0" customHeight="1">
      <x:c r="A47" s="123"/>
      <x:c r="B47" s="123"/>
      <x:c r="C47" s="123"/>
      <x:c r="D47" s="123"/>
      <x:c r="E47" s="123"/>
      <x:c r="F47" s="123"/>
      <x:c r="G47" s="123"/>
      <x:c r="H47" s="123"/>
      <x:c r="I47" s="123"/>
    </x:row>
    <x:row r="48" ht="15" hidden="0" customHeight="1">
      <x:c r="A48" s="123"/>
      <x:c r="B48" s="123"/>
      <x:c r="C48" s="123"/>
      <x:c r="D48" s="123"/>
      <x:c r="E48" s="123"/>
      <x:c r="F48" s="123"/>
      <x:c r="G48" s="123"/>
      <x:c r="H48" s="123"/>
      <x:c r="I48" s="123"/>
    </x:row>
  </x:sheetData>
  <x:mergeCells>
    <x:mergeCell ref="A1:H1"/>
    <x:mergeCell ref="A2:H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6.75" hidden="0" customWidth="1"/>
    <x:col min="2" max="2" width="7.75" hidden="0" customWidth="1"/>
    <x:col min="3" max="3" width="7.75" hidden="0" customWidth="1"/>
    <x:col min="4" max="4" width="7.75" hidden="0" customWidth="1"/>
    <x:col min="5" max="5" width="15" hidden="0" customWidth="1"/>
  </x:cols>
  <x:sheetData>
    <x:row r="1" ht="15" hidden="0" customHeight="1">
      <x:c r="A1" s="121" t="str">
        <x:v>11 Scenarios</x:v>
      </x:c>
      <x:c r="B1" s="121"/>
      <x:c r="C1" s="121"/>
      <x:c r="D1" s="121"/>
      <x:c r="E1" s="121"/>
      <x:c r="F1" s="2"/>
      <x:c r="G1" s="2"/>
      <x:c r="H1" s="2"/>
    </x:row>
    <x:row r="2" ht="15" hidden="0" customHeight="1">
      <x:c r="A2" s="122" t="str">
        <x:v>Escenarios 2030 recalculados desde motores operativos; sin outputs pegados.</x:v>
      </x:c>
      <x:c r="B2" s="122"/>
      <x:c r="C2" s="122"/>
      <x:c r="D2" s="122"/>
      <x:c r="E2" s="122"/>
      <x:c r="F2" s="4"/>
      <x:c r="G2" s="4"/>
      <x:c r="H2" s="4"/>
    </x:row>
    <x:row r="3" ht="15" hidden="0" customHeight="1">
      <x:c r="A3" s="123"/>
      <x:c r="B3" s="123"/>
      <x:c r="C3" s="123"/>
      <x:c r="D3" s="123"/>
      <x:c r="E3" s="123"/>
    </x:row>
    <x:row r="4" ht="15" hidden="0" customHeight="1">
      <x:c r="A4" s="124" t="str">
        <x:v>Metrica 2030</x:v>
      </x:c>
      <x:c r="B4" s="124" t="str">
        <x:v>Guarded</x:v>
      </x:c>
      <x:c r="C4" s="124" t="str">
        <x:v>Base</x:v>
      </x:c>
      <x:c r="D4" s="124" t="str">
        <x:v>Breakout</x:v>
      </x:c>
      <x:c r="E4" s="123"/>
    </x:row>
    <x:row r="5" ht="15" hidden="0" customHeight="1">
      <x:c r="A5" s="123" t="str">
        <x:v>Factor volumen m2</x:v>
      </x:c>
      <x:c r="B5" s="357" t="n">
        <x:v>0.7</x:v>
      </x:c>
      <x:c r="C5" s="358" t="n">
        <x:v>1</x:v>
      </x:c>
      <x:c r="D5" s="359" t="n">
        <x:v>1.3</x:v>
      </x:c>
      <x:c r="E5" s="123"/>
    </x:row>
    <x:row r="6" ht="15" hidden="0" customHeight="1">
      <x:c r="A6" s="123" t="str">
        <x:v>Factor adopcion / monetizacion</x:v>
      </x:c>
      <x:c r="B6" s="360" t="n">
        <x:v>0.85</x:v>
      </x:c>
      <x:c r="C6" s="361" t="n">
        <x:v>1</x:v>
      </x:c>
      <x:c r="D6" s="362" t="n">
        <x:v>1.1</x:v>
      </x:c>
      <x:c r="E6" s="123"/>
    </x:row>
    <x:row r="7" ht="15" hidden="0" customHeight="1">
      <x:c r="A7" s="123" t="str">
        <x:v>Factor captacion partners</x:v>
      </x:c>
      <x:c r="B7" s="360" t="n">
        <x:v>0.75</x:v>
      </x:c>
      <x:c r="C7" s="361" t="n">
        <x:v>1</x:v>
      </x:c>
      <x:c r="D7" s="362" t="n">
        <x:v>1.35</x:v>
      </x:c>
      <x:c r="E7" s="123"/>
    </x:row>
    <x:row r="8" ht="15" hidden="0" customHeight="1">
      <x:c r="A8" s="123" t="str">
        <x:v>Factor otras verticales</x:v>
      </x:c>
      <x:c r="B8" s="360" t="n">
        <x:v>0.75</x:v>
      </x:c>
      <x:c r="C8" s="361" t="n">
        <x:v>1</x:v>
      </x:c>
      <x:c r="D8" s="362" t="n">
        <x:v>1.3</x:v>
      </x:c>
      <x:c r="E8" s="123"/>
    </x:row>
    <x:row r="9" ht="15" hidden="0" customHeight="1">
      <x:c r="A9" s="123" t="str">
        <x:v>Factor OPEX</x:v>
      </x:c>
      <x:c r="B9" s="360" t="n">
        <x:v>0.9</x:v>
      </x:c>
      <x:c r="C9" s="361" t="n">
        <x:v>1</x:v>
      </x:c>
      <x:c r="D9" s="362" t="n">
        <x:v>1.2</x:v>
      </x:c>
      <x:c r="E9" s="123"/>
    </x:row>
    <x:row r="10" ht="15" hidden="0" customHeight="1">
      <x:c r="A10" s="123" t="str">
        <x:v>Multiplo ingresos</x:v>
      </x:c>
      <x:c r="B10" s="360" t="n">
        <x:v>5.5</x:v>
      </x:c>
      <x:c r="C10" s="361" t="n">
        <x:v>7</x:v>
      </x:c>
      <x:c r="D10" s="362" t="n">
        <x:v>8</x:v>
      </x:c>
      <x:c r="E10" s="123"/>
    </x:row>
    <x:row r="11" ht="15" hidden="0" customHeight="1">
      <x:c r="A11" s="123" t="str">
        <x:v>Multiplo EBITDA</x:v>
      </x:c>
      <x:c r="B11" s="363" t="n">
        <x:v>14</x:v>
      </x:c>
      <x:c r="C11" s="364" t="n">
        <x:v>17</x:v>
      </x:c>
      <x:c r="D11" s="365" t="n">
        <x:v>20</x:v>
      </x:c>
      <x:c r="E11" s="123"/>
    </x:row>
    <x:row r="12" ht="15" hidden="0" customHeight="1">
      <x:c r="A12" s="123"/>
      <x:c r="B12" s="123"/>
      <x:c r="C12" s="123"/>
      <x:c r="D12" s="123"/>
      <x:c r="E12" s="123"/>
    </x:row>
    <x:row r="13" ht="15" hidden="0" customHeight="1">
      <x:c r="A13" s="125" t="str">
        <x:v>Ingresos EUR M</x:v>
      </x:c>
      <x:c r="B13" s="284" t="n">
        <x:f>('06_Revenue'!F5+'06_Revenue'!F6)*B7+SUM('06_Revenue'!F7:F15)*B5*B6+SUM('06_Revenue'!F18:F22)*B8</x:f>
        <x:v>122.90757999899998</x:v>
      </x:c>
      <x:c r="C13" s="284" t="n">
        <x:f>('06_Revenue'!F5+'06_Revenue'!F6)*C7+SUM('06_Revenue'!F7:F15)*C5*C6+SUM('06_Revenue'!F18:F22)*C8</x:f>
        <x:v>188.89594419999997</x:v>
      </x:c>
      <x:c r="D13" s="285" t="n">
        <x:f>('06_Revenue'!F5+'06_Revenue'!F6)*D7+SUM('06_Revenue'!F7:F15)*D5*D6+SUM('06_Revenue'!F18:F22)*D8</x:f>
        <x:v>261.360293006</x:v>
      </x:c>
      <x:c r="E13" s="123"/>
    </x:row>
    <x:row r="14" ht="15" hidden="0" customHeight="1">
      <x:c r="A14" s="129" t="str">
        <x:v>Contribucion EUR M</x:v>
      </x:c>
      <x:c r="B14" s="286" t="n">
        <x:f>SUM('07_Contribution'!F6:F7)*B7+SUM('07_Contribution'!F8:F10)*B5*B6+SUM('07_Contribution'!F11:F15)*B8</x:f>
        <x:v>92.83933404917997</x:v>
      </x:c>
      <x:c r="C14" s="286" t="n">
        <x:f>SUM('07_Contribution'!F6:F7)*C7+SUM('07_Contribution'!F8:F10)*C5*C6+SUM('07_Contribution'!F11:F15)*C8</x:f>
        <x:v>144.50960184399997</x:v>
      </x:c>
      <x:c r="D14" s="287" t="n">
        <x:f>SUM('07_Contribution'!F6:F7)*D7+SUM('07_Contribution'!F8:F10)*D5*D6+SUM('07_Contribution'!F11:F15)*D8</x:f>
        <x:v>200.93657564491997</x:v>
      </x:c>
      <x:c r="E14" s="123"/>
    </x:row>
    <x:row r="15" ht="15" hidden="0" customHeight="1">
      <x:c r="A15" s="129" t="str">
        <x:v>OPEX EUR M</x:v>
      </x:c>
      <x:c r="B15" s="286" t="n">
        <x:f>'07_Contribution'!F18*B9</x:f>
        <x:v>30.672</x:v>
      </x:c>
      <x:c r="C15" s="286" t="n">
        <x:f>'07_Contribution'!F18*C9</x:f>
        <x:v>34.08</x:v>
      </x:c>
      <x:c r="D15" s="287" t="n">
        <x:f>'07_Contribution'!F18*D9</x:f>
        <x:v>40.895999999999994</x:v>
      </x:c>
      <x:c r="E15" s="123"/>
    </x:row>
    <x:row r="16" ht="15" hidden="0" customHeight="1">
      <x:c r="A16" s="129" t="str">
        <x:v>EBITDA EUR M</x:v>
      </x:c>
      <x:c r="B16" s="286" t="n">
        <x:f>B14-B15</x:f>
        <x:v>62.16733404917997</x:v>
      </x:c>
      <x:c r="C16" s="286" t="n">
        <x:f>C14-C15</x:f>
        <x:v>110.42960184399998</x:v>
      </x:c>
      <x:c r="D16" s="287" t="n">
        <x:f>D14-D15</x:f>
        <x:v>160.04057564491998</x:v>
      </x:c>
      <x:c r="E16" s="123"/>
    </x:row>
    <x:row r="17" ht="15" hidden="0" customHeight="1">
      <x:c r="A17" s="133" t="str">
        <x:v>Margen EBITDA</x:v>
      </x:c>
      <x:c r="B17" s="366" t="n">
        <x:f>IF(B13=0,0,B16/B13)</x:f>
        <x:v>0.5058055333095468</x:v>
      </x:c>
      <x:c r="C17" s="366" t="n">
        <x:f>IF(C13=0,0,C16/C13)</x:f>
        <x:v>0.5846054679028941</x:v>
      </x:c>
      <x:c r="D17" s="367" t="n">
        <x:f>IF(D13=0,0,D16/D13)</x:f>
        <x:v>0.6123369919900035</x:v>
      </x:c>
      <x:c r="E17" s="123"/>
    </x:row>
    <x:row r="18" ht="15" hidden="0" customHeight="1">
      <x:c r="A18" s="123" t="str">
        <x:v>EV por ingresos EUR M</x:v>
      </x:c>
      <x:c r="B18" s="332" t="n">
        <x:f>B13*B10</x:f>
        <x:v>675.9916899944999</x:v>
      </x:c>
      <x:c r="C18" s="332" t="n">
        <x:f>C13*C10</x:f>
        <x:v>1322.2716093999998</x:v>
      </x:c>
      <x:c r="D18" s="332" t="n">
        <x:f>D13*D10</x:f>
        <x:v>2090.882344048</x:v>
      </x:c>
      <x:c r="E18" s="123"/>
    </x:row>
    <x:row r="19" ht="15" hidden="0" customHeight="1">
      <x:c r="A19" s="123" t="str">
        <x:v>EV por EBITDA EUR M</x:v>
      </x:c>
      <x:c r="B19" s="332" t="n">
        <x:f>MAX(0,B16*B11)</x:f>
        <x:v>870.3426766885195</x:v>
      </x:c>
      <x:c r="C19" s="332" t="n">
        <x:f>MAX(0,C16*C11)</x:f>
        <x:v>1877.3032313479996</x:v>
      </x:c>
      <x:c r="D19" s="332" t="n">
        <x:f>MAX(0,D16*D11)</x:f>
        <x:v>3200.8115128983995</x:v>
      </x:c>
      <x:c r="E19" s="123"/>
    </x:row>
    <x:row r="20" ht="15" hidden="0" customHeight="1">
      <x:c r="A20" s="271" t="str">
        <x:v>EV midpoint EUR M</x:v>
      </x:c>
      <x:c r="B20" s="333" t="n">
        <x:f>AVERAGE(B18:B19)</x:f>
        <x:v>773.1671833415097</x:v>
      </x:c>
      <x:c r="C20" s="333" t="n">
        <x:f>AVERAGE(C18:C19)</x:f>
        <x:v>1599.7874203739998</x:v>
      </x:c>
      <x:c r="D20" s="334" t="n">
        <x:f>AVERAGE(D18:D19)</x:f>
        <x:v>2645.8469284732</x:v>
      </x:c>
      <x:c r="E20" s="123"/>
    </x:row>
    <x:row r="21" ht="15" hidden="0" customHeight="1">
      <x:c r="A21" s="123" t="str">
        <x:v>Partners activos</x:v>
      </x:c>
      <x:c r="B21" s="266" t="n">
        <x:f>'05_m2_Stock'!F7*B7</x:f>
        <x:v>17.25</x:v>
      </x:c>
      <x:c r="C21" s="266" t="n">
        <x:f>'05_m2_Stock'!F7*C7</x:f>
        <x:v>23</x:v>
      </x:c>
      <x:c r="D21" s="266" t="n">
        <x:f>'05_m2_Stock'!F7*D7</x:f>
        <x:v>31.05</x:v>
      </x:c>
      <x:c r="E21" s="123"/>
    </x:row>
    <x:row r="22" ht="15" hidden="0" customHeight="1">
      <x:c r="A22" s="123" t="str">
        <x:v>m2 emitidos</x:v>
      </x:c>
      <x:c r="B22" s="266" t="n">
        <x:f>'05_m2_Stock'!F8*B5</x:f>
        <x:v>2057999.9999999998</x:v>
      </x:c>
      <x:c r="C22" s="266" t="n">
        <x:f>'05_m2_Stock'!F8*C5</x:f>
        <x:v>2940000</x:v>
      </x:c>
      <x:c r="D22" s="266" t="n">
        <x:f>'05_m2_Stock'!F8*D5</x:f>
        <x:v>3822000</x:v>
      </x:c>
      <x:c r="E22" s="123"/>
    </x:row>
    <x:row r="23" ht="15" hidden="0" customHeight="1">
      <x:c r="A23" s="123" t="str">
        <x:v>Stock vivo m2</x:v>
      </x:c>
      <x:c r="B23" s="266" t="n">
        <x:f>'05_m2_Stock'!F9*B5</x:f>
        <x:v>4557700</x:v>
      </x:c>
      <x:c r="C23" s="266" t="n">
        <x:f>'05_m2_Stock'!F9*C5</x:f>
        <x:v>6511000</x:v>
      </x:c>
      <x:c r="D23" s="266" t="n">
        <x:f>'05_m2_Stock'!F9*D5</x:f>
        <x:v>8464300</x:v>
      </x:c>
      <x:c r="E23" s="123"/>
    </x:row>
    <x:row r="24" ht="15" hidden="0" customHeight="1">
      <x:c r="A24" s="123" t="str">
        <x:v>Fee combinado efectivo EUR/m2</x:v>
      </x:c>
      <x:c r="B24" s="270" t="n">
        <x:f>'02B_Partner_Economics'!F50</x:f>
        <x:v>4.875</x:v>
      </x:c>
      <x:c r="C24" s="270" t="n">
        <x:f>'02B_Partner_Economics'!F50</x:f>
        <x:v>4.875</x:v>
      </x:c>
      <x:c r="D24" s="270" t="n">
        <x:f>'02B_Partner_Economics'!F50</x:f>
        <x:v>4.875</x:v>
      </x:c>
      <x:c r="E24" s="123"/>
    </x:row>
    <x:row r="25" ht="15" hidden="0" customHeight="1">
      <x:c r="A25" s="123"/>
      <x:c r="B25" s="123"/>
      <x:c r="C25" s="123"/>
      <x:c r="D25" s="123"/>
      <x:c r="E25" s="123"/>
    </x:row>
    <x:row r="26" ht="15" hidden="0" customHeight="1">
      <x:c r="A26" s="123"/>
      <x:c r="B26" s="123"/>
      <x:c r="C26" s="123"/>
      <x:c r="D26" s="123"/>
      <x:c r="E26" s="123"/>
    </x:row>
    <x:row r="27" ht="15" hidden="0" customHeight="1">
      <x:c r="A27" s="123"/>
      <x:c r="B27" s="123"/>
      <x:c r="C27" s="123"/>
      <x:c r="D27" s="123"/>
      <x:c r="E27" s="123"/>
    </x:row>
    <x:row r="28" ht="15" hidden="0" customHeight="1">
      <x:c r="A28" s="123"/>
      <x:c r="B28" s="123"/>
      <x:c r="C28" s="123"/>
      <x:c r="D28" s="123"/>
      <x:c r="E28" s="123"/>
    </x:row>
    <x:row r="29" ht="15" hidden="0" customHeight="1">
      <x:c r="A29" s="123"/>
      <x:c r="B29" s="123"/>
      <x:c r="C29" s="123"/>
      <x:c r="D29" s="123"/>
      <x:c r="E29" s="123"/>
    </x:row>
    <x:row r="30" ht="15" hidden="0" customHeight="1">
      <x:c r="A30" s="123"/>
      <x:c r="B30" s="123"/>
      <x:c r="C30" s="123"/>
      <x:c r="D30" s="123"/>
      <x:c r="E30" s="123"/>
    </x:row>
  </x:sheetData>
  <x:mergeCells>
    <x:mergeCell ref="A1:H1"/>
    <x:mergeCell ref="A2:H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1.880001068115234" hidden="0" customWidth="1"/>
    <x:col min="2" max="2" width="8.130000114440918" hidden="0" customWidth="1"/>
    <x:col min="3" max="3" width="8.880000114440918" hidden="0" customWidth="1"/>
    <x:col min="4" max="4" width="10.630000114440918" hidden="0" customWidth="1"/>
    <x:col min="5" max="5" width="9.75" hidden="0" customWidth="1"/>
    <x:col min="6" max="6" width="13.630000114440918" hidden="0" customWidth="1"/>
    <x:col min="7" max="7" width="16.6299991607666" hidden="0" customWidth="1"/>
    <x:col min="8" max="8" width="32.380001068115234" hidden="0" customWidth="1"/>
    <x:col min="9" max="9" width="8.880000114440918" hidden="0" customWidth="1"/>
    <x:col min="10" max="10" width="10.630000114440918" hidden="0" customWidth="1"/>
    <x:col min="11" max="11" width="4.630000114440918" hidden="0" customWidth="1"/>
    <x:col min="12" max="12" width="4.630000114440918" hidden="0" customWidth="1"/>
    <x:col min="13" max="13" width="4.630000114440918" hidden="0" customWidth="1"/>
    <x:col min="14" max="14" width="15" hidden="0" customWidth="1"/>
  </x:cols>
  <x:sheetData>
    <x:row r="1" ht="15" hidden="0" customHeight="1">
      <x:c r="A1" s="121" t="str">
        <x:v>12 Stress Tests</x:v>
      </x:c>
      <x:c r="B1" s="121"/>
      <x:c r="C1" s="121"/>
      <x:c r="D1" s="121"/>
      <x:c r="E1" s="121"/>
      <x:c r="F1" s="121"/>
      <x:c r="G1" s="121"/>
      <x:c r="H1" s="121"/>
      <x:c r="I1" s="123"/>
      <x:c r="J1" s="123"/>
      <x:c r="K1" s="123"/>
      <x:c r="L1" s="123"/>
      <x:c r="M1" s="123"/>
      <x:c r="N1" s="123"/>
    </x:row>
    <x:row r="2" ht="15" hidden="0" customHeight="1">
      <x:c r="A2" s="122" t="str">
        <x:v>Sensibilidades 2030: volumen, fees por m2 y paquetes de digitalizacion.</x:v>
      </x:c>
      <x:c r="B2" s="122"/>
      <x:c r="C2" s="122"/>
      <x:c r="D2" s="122"/>
      <x:c r="E2" s="122"/>
      <x:c r="F2" s="122"/>
      <x:c r="G2" s="122"/>
      <x:c r="H2" s="122"/>
      <x:c r="I2" s="123"/>
      <x:c r="J2" s="123"/>
      <x:c r="K2" s="123"/>
      <x:c r="L2" s="123"/>
      <x:c r="M2" s="123"/>
      <x:c r="N2" s="123"/>
    </x:row>
    <x:row r="3" ht="15" hidden="0" customHeight="1">
      <x:c r="A3" s="123"/>
      <x:c r="B3" s="123"/>
      <x:c r="C3" s="123"/>
      <x:c r="D3" s="123"/>
      <x:c r="E3" s="123"/>
      <x:c r="F3" s="123"/>
      <x:c r="G3" s="123"/>
      <x:c r="H3" s="123"/>
      <x:c r="I3" s="123"/>
      <x:c r="J3" s="123"/>
      <x:c r="K3" s="123"/>
      <x:c r="L3" s="123"/>
      <x:c r="M3" s="123"/>
      <x:c r="N3" s="123"/>
    </x:row>
    <x:row r="4" ht="15" hidden="0" customHeight="1">
      <x:c r="A4" s="124" t="str">
        <x:v>Stress volumen</x:v>
      </x:c>
      <x:c r="B4" s="124" t="str">
        <x:v>Factor m2</x:v>
      </x:c>
      <x:c r="C4" s="124" t="str">
        <x:v>Revenue</x:v>
      </x:c>
      <x:c r="D4" s="124" t="str">
        <x:v>EBITDA</x:v>
      </x:c>
      <x:c r="E4" s="124" t="str">
        <x:v>EV midpoint</x:v>
      </x:c>
      <x:c r="F4" s="124" t="str">
        <x:v>Estado vs 1.000M</x:v>
      </x:c>
      <x:c r="G4" s="123"/>
      <x:c r="H4" s="123"/>
      <x:c r="I4" s="123"/>
      <x:c r="J4" s="123"/>
      <x:c r="K4" s="123"/>
      <x:c r="L4" s="123"/>
      <x:c r="M4" s="123"/>
      <x:c r="N4" s="123"/>
    </x:row>
    <x:row r="5" ht="15" hidden="0" customHeight="1">
      <x:c r="A5" s="123" t="str">
        <x:v>-30%</x:v>
      </x:c>
      <x:c r="B5" s="332" t="n">
        <x:v>0.7</x:v>
      </x:c>
      <x:c r="C5" s="332" t="n">
        <x:f>SUM('06_Revenue'!F5:F6)+SUM('06_Revenue'!F7:F15)*B5+SUM('06_Revenue'!F18:F22)</x:f>
        <x:v>152.57779294</x:v>
      </x:c>
      <x:c r="D5" s="332" t="n">
        <x:f>SUM('07_Contribution'!F6:F7)+SUM('07_Contribution'!F8:F10)*B5+SUM('07_Contribution'!F11:F15)-'07_Contribution'!F18</x:f>
        <x:v>80.34663281079996</x:v>
      </x:c>
      <x:c r="E5" s="332" t="n">
        <x:f>AVERAGE(C5*'01_Assumptions'!F47,D5*'01_Assumptions'!F48)</x:f>
        <x:v>1216.9686541817996</x:v>
      </x:c>
      <x:c r="F5" s="123" t="str">
        <x:f>IF(E5&gt;=1000,"OK", "Below threshold")</x:f>
        <x:v>OK</x:v>
      </x:c>
      <x:c r="G5" s="123"/>
      <x:c r="H5" s="123"/>
      <x:c r="I5" s="123"/>
      <x:c r="J5" s="123"/>
      <x:c r="K5" s="123"/>
      <x:c r="L5" s="123"/>
      <x:c r="M5" s="123"/>
      <x:c r="N5" s="123"/>
    </x:row>
    <x:row r="6" ht="15" hidden="0" customHeight="1">
      <x:c r="A6" s="123" t="str">
        <x:v>-20%</x:v>
      </x:c>
      <x:c r="B6" s="332" t="n">
        <x:v>0.8</x:v>
      </x:c>
      <x:c r="C6" s="332" t="n">
        <x:f>SUM('06_Revenue'!F5:F6)+SUM('06_Revenue'!F7:F15)*B6+SUM('06_Revenue'!F18:F22)</x:f>
        <x:v>164.68384336</x:v>
      </x:c>
      <x:c r="D6" s="332" t="n">
        <x:f>SUM('07_Contribution'!F6:F7)+SUM('07_Contribution'!F8:F10)*B6+SUM('07_Contribution'!F11:F15)-'07_Contribution'!F18</x:f>
        <x:v>90.37428915519997</x:v>
      </x:c>
      <x:c r="E6" s="332" t="n">
        <x:f>AVERAGE(C6*'01_Assumptions'!F47,D6*'01_Assumptions'!F48)</x:f>
        <x:v>1344.5749095791998</x:v>
      </x:c>
      <x:c r="F6" s="123" t="str">
        <x:f>IF(E6&gt;=1000,"OK", "Below threshold")</x:f>
        <x:v>OK</x:v>
      </x:c>
      <x:c r="G6" s="123"/>
      <x:c r="H6" s="123"/>
      <x:c r="I6" s="123"/>
      <x:c r="J6" s="123"/>
      <x:c r="K6" s="123"/>
      <x:c r="L6" s="123"/>
      <x:c r="M6" s="123"/>
      <x:c r="N6" s="123"/>
    </x:row>
    <x:row r="7" ht="15" hidden="0" customHeight="1">
      <x:c r="A7" s="123" t="str">
        <x:v>-10%</x:v>
      </x:c>
      <x:c r="B7" s="332" t="n">
        <x:v>0.9</x:v>
      </x:c>
      <x:c r="C7" s="332" t="n">
        <x:f>SUM('06_Revenue'!F5:F6)+SUM('06_Revenue'!F7:F15)*B7+SUM('06_Revenue'!F18:F22)</x:f>
        <x:v>176.78989378</x:v>
      </x:c>
      <x:c r="D7" s="332" t="n">
        <x:f>SUM('07_Contribution'!F6:F7)+SUM('07_Contribution'!F8:F10)*B7+SUM('07_Contribution'!F11:F15)-'07_Contribution'!F18</x:f>
        <x:v>100.40194549959996</x:v>
      </x:c>
      <x:c r="E7" s="332" t="n">
        <x:f>AVERAGE(C7*'01_Assumptions'!F47,D7*'01_Assumptions'!F48)</x:f>
        <x:v>1472.1811649765996</x:v>
      </x:c>
      <x:c r="F7" s="123" t="str">
        <x:f>IF(E7&gt;=1000,"OK", "Below threshold")</x:f>
        <x:v>OK</x:v>
      </x:c>
      <x:c r="G7" s="123"/>
      <x:c r="H7" s="123"/>
      <x:c r="I7" s="123"/>
      <x:c r="J7" s="123"/>
      <x:c r="K7" s="123"/>
      <x:c r="L7" s="123"/>
      <x:c r="M7" s="123"/>
      <x:c r="N7" s="123"/>
    </x:row>
    <x:row r="8" ht="15" hidden="0" customHeight="1">
      <x:c r="A8" s="123" t="str">
        <x:v>0%</x:v>
      </x:c>
      <x:c r="B8" s="332" t="n">
        <x:v>1</x:v>
      </x:c>
      <x:c r="C8" s="332" t="n">
        <x:f>SUM('06_Revenue'!F5:F6)+SUM('06_Revenue'!F7:F15)*B8+SUM('06_Revenue'!F18:F22)</x:f>
        <x:v>188.89594419999997</x:v>
      </x:c>
      <x:c r="D8" s="332" t="n">
        <x:f>SUM('07_Contribution'!F6:F7)+SUM('07_Contribution'!F8:F10)*B8+SUM('07_Contribution'!F11:F15)-'07_Contribution'!F18</x:f>
        <x:v>110.42960184399998</x:v>
      </x:c>
      <x:c r="E8" s="332" t="n">
        <x:f>AVERAGE(C8*'01_Assumptions'!F47,D8*'01_Assumptions'!F48)</x:f>
        <x:v>1599.7874203739998</x:v>
      </x:c>
      <x:c r="F8" s="123" t="str">
        <x:f>IF(E8&gt;=1000,"OK", "Below threshold")</x:f>
        <x:v>OK</x:v>
      </x:c>
      <x:c r="G8" s="123"/>
      <x:c r="H8" s="123"/>
      <x:c r="I8" s="123"/>
      <x:c r="J8" s="123"/>
      <x:c r="K8" s="123"/>
      <x:c r="L8" s="123"/>
      <x:c r="M8" s="123"/>
      <x:c r="N8" s="123"/>
    </x:row>
    <x:row r="9" ht="15" hidden="0" customHeight="1">
      <x:c r="A9" s="123" t="str">
        <x:v>10%</x:v>
      </x:c>
      <x:c r="B9" s="332" t="n">
        <x:v>1.1</x:v>
      </x:c>
      <x:c r="C9" s="332" t="n">
        <x:f>SUM('06_Revenue'!F5:F6)+SUM('06_Revenue'!F7:F15)*B9+SUM('06_Revenue'!F18:F22)</x:f>
        <x:v>201.00199462</x:v>
      </x:c>
      <x:c r="D9" s="332" t="n">
        <x:f>SUM('07_Contribution'!F6:F7)+SUM('07_Contribution'!F8:F10)*B9+SUM('07_Contribution'!F11:F15)-'07_Contribution'!F18</x:f>
        <x:v>120.45725818839996</x:v>
      </x:c>
      <x:c r="E9" s="332" t="n">
        <x:f>AVERAGE(C9*'01_Assumptions'!F47,D9*'01_Assumptions'!F48)</x:f>
        <x:v>1727.3936757713996</x:v>
      </x:c>
      <x:c r="F9" s="123" t="str">
        <x:f>IF(E9&gt;=1000,"OK", "Below threshold")</x:f>
        <x:v>OK</x:v>
      </x:c>
      <x:c r="G9" s="123"/>
      <x:c r="H9" s="123"/>
      <x:c r="I9" s="123"/>
      <x:c r="J9" s="123"/>
      <x:c r="K9" s="123"/>
      <x:c r="L9" s="123"/>
      <x:c r="M9" s="123"/>
      <x:c r="N9" s="123"/>
    </x:row>
    <x:row r="10" ht="15" hidden="0" customHeight="1">
      <x:c r="A10" s="123" t="str">
        <x:v>20%</x:v>
      </x:c>
      <x:c r="B10" s="332" t="n">
        <x:v>1.2</x:v>
      </x:c>
      <x:c r="C10" s="332" t="n">
        <x:f>SUM('06_Revenue'!F5:F6)+SUM('06_Revenue'!F7:F15)*B10+SUM('06_Revenue'!F18:F22)</x:f>
        <x:v>213.10804503999998</x:v>
      </x:c>
      <x:c r="D10" s="332" t="n">
        <x:f>SUM('07_Contribution'!F6:F7)+SUM('07_Contribution'!F8:F10)*B10+SUM('07_Contribution'!F11:F15)-'07_Contribution'!F18</x:f>
        <x:v>130.48491453279996</x:v>
      </x:c>
      <x:c r="E10" s="332" t="n">
        <x:f>AVERAGE(C10*'01_Assumptions'!F47,D10*'01_Assumptions'!F48)</x:f>
        <x:v>1854.9999311687995</x:v>
      </x:c>
      <x:c r="F10" s="123" t="str">
        <x:f>IF(E10&gt;=1000,"OK", "Below threshold")</x:f>
        <x:v>OK</x:v>
      </x:c>
      <x:c r="G10" s="123"/>
      <x:c r="H10" s="123"/>
      <x:c r="I10" s="123"/>
      <x:c r="J10" s="123"/>
      <x:c r="K10" s="123"/>
      <x:c r="L10" s="123"/>
      <x:c r="M10" s="123"/>
      <x:c r="N10" s="123"/>
    </x:row>
    <x:row r="11" ht="15" hidden="0" customHeight="1">
      <x:c r="A11" s="123" t="str">
        <x:v>30%</x:v>
      </x:c>
      <x:c r="B11" s="332" t="n">
        <x:v>1.3</x:v>
      </x:c>
      <x:c r="C11" s="332" t="n">
        <x:f>SUM('06_Revenue'!F5:F6)+SUM('06_Revenue'!F7:F15)*B11+SUM('06_Revenue'!F18:F22)</x:f>
        <x:v>225.21409546</x:v>
      </x:c>
      <x:c r="D11" s="332" t="n">
        <x:f>SUM('07_Contribution'!F6:F7)+SUM('07_Contribution'!F8:F10)*B11+SUM('07_Contribution'!F11:F15)-'07_Contribution'!F18</x:f>
        <x:v>140.51257087719995</x:v>
      </x:c>
      <x:c r="E11" s="332" t="n">
        <x:f>AVERAGE(C11*'01_Assumptions'!F47,D11*'01_Assumptions'!F48)</x:f>
        <x:v>1982.6061865661995</x:v>
      </x:c>
      <x:c r="F11" s="123" t="str">
        <x:f>IF(E11&gt;=1000,"OK", "Below threshold")</x:f>
        <x:v>OK</x:v>
      </x:c>
      <x:c r="G11" s="123"/>
      <x:c r="H11" s="123"/>
      <x:c r="I11" s="123"/>
      <x:c r="J11" s="123"/>
      <x:c r="K11" s="123"/>
      <x:c r="L11" s="123"/>
      <x:c r="M11" s="123"/>
      <x:c r="N11" s="123"/>
    </x:row>
    <x:row r="12" ht="15" hidden="0" customHeight="1">
      <x:c r="A12" s="123"/>
      <x:c r="B12" s="123"/>
      <x:c r="C12" s="123"/>
      <x:c r="D12" s="123"/>
      <x:c r="E12" s="123"/>
      <x:c r="F12" s="123"/>
      <x:c r="G12" s="123"/>
      <x:c r="H12" s="123"/>
      <x:c r="I12" s="123"/>
      <x:c r="J12" s="123"/>
      <x:c r="K12" s="123"/>
      <x:c r="L12" s="123"/>
      <x:c r="M12" s="123"/>
      <x:c r="N12" s="123"/>
    </x:row>
    <x:row r="13" ht="15" hidden="0" customHeight="1">
      <x:c r="A13" s="123"/>
      <x:c r="B13" s="123"/>
      <x:c r="C13" s="123"/>
      <x:c r="D13" s="123"/>
      <x:c r="E13" s="123"/>
      <x:c r="F13" s="123"/>
      <x:c r="G13" s="123"/>
      <x:c r="H13" s="123"/>
      <x:c r="I13" s="123"/>
      <x:c r="J13" s="123"/>
      <x:c r="K13" s="123"/>
      <x:c r="L13" s="123"/>
      <x:c r="M13" s="123"/>
      <x:c r="N13" s="123"/>
    </x:row>
    <x:row r="14" ht="15" hidden="0" customHeight="1">
      <x:c r="A14" s="124" t="str">
        <x:v>Revenue 2030: Fee montaje \ Fee fabricante</x:v>
      </x:c>
      <x:c r="B14" s="124" t="n">
        <x:v>1.5</x:v>
      </x:c>
      <x:c r="C14" s="124" t="n">
        <x:v>2</x:v>
      </x:c>
      <x:c r="D14" s="124" t="n">
        <x:v>2.5</x:v>
      </x:c>
      <x:c r="E14" s="124" t="n">
        <x:v>3</x:v>
      </x:c>
      <x:c r="F14" s="124" t="n">
        <x:v>3.5</x:v>
      </x:c>
      <x:c r="G14" s="123" t="str"/>
      <x:c r="H14" s="124" t="str">
        <x:v>EBITDA 2030: Fee montaje \ Fee fabricante</x:v>
      </x:c>
      <x:c r="I14" s="124" t="n">
        <x:v>1.5</x:v>
      </x:c>
      <x:c r="J14" s="124" t="n">
        <x:v>2</x:v>
      </x:c>
      <x:c r="K14" s="124" t="n">
        <x:v>2.5</x:v>
      </x:c>
      <x:c r="L14" s="124" t="n">
        <x:v>3</x:v>
      </x:c>
      <x:c r="M14" s="124" t="n">
        <x:v>3.5</x:v>
      </x:c>
      <x:c r="N14" s="123"/>
    </x:row>
    <x:row r="15" ht="15" hidden="0" customHeight="1">
      <x:c r="A15" s="270" t="n">
        <x:v>1.5</x:v>
      </x:c>
      <x:c r="B15" s="332" t="n">
        <x:f>'06_Revenue'!F23-'06_Revenue'!F7-'06_Revenue'!F8+'01_Assumptions'!F5*B$14*'02B_Partner_Economics'!F47/1000000+'01_Assumptions'!F5*$A15*'02B_Partner_Economics'!F49/1000000</x:f>
        <x:v>183.1629442</x:v>
      </x:c>
      <x:c r="C15" s="332" t="n">
        <x:f>'06_Revenue'!F23-'06_Revenue'!F7-'06_Revenue'!F8+'01_Assumptions'!F5*C$14*'02B_Partner_Economics'!F47/1000000+'01_Assumptions'!F5*$A15*'02B_Partner_Economics'!F49/1000000</x:f>
        <x:v>184.6329442</x:v>
      </x:c>
      <x:c r="D15" s="332" t="n">
        <x:f>'06_Revenue'!F23-'06_Revenue'!F7-'06_Revenue'!F8+'01_Assumptions'!F5*D$14*'02B_Partner_Economics'!F47/1000000+'01_Assumptions'!F5*$A15*'02B_Partner_Economics'!F49/1000000</x:f>
        <x:v>186.1029442</x:v>
      </x:c>
      <x:c r="E15" s="332" t="n">
        <x:f>'06_Revenue'!F23-'06_Revenue'!F7-'06_Revenue'!F8+'01_Assumptions'!F5*E$14*'02B_Partner_Economics'!F47/1000000+'01_Assumptions'!F5*$A15*'02B_Partner_Economics'!F49/1000000</x:f>
        <x:v>187.5729442</x:v>
      </x:c>
      <x:c r="F15" s="332" t="n">
        <x:f>'06_Revenue'!F23-'06_Revenue'!F7-'06_Revenue'!F8+'01_Assumptions'!F5*F$14*'02B_Partner_Economics'!F47/1000000+'01_Assumptions'!F5*$A15*'02B_Partner_Economics'!F49/1000000</x:f>
        <x:v>189.0429442</x:v>
      </x:c>
      <x:c r="G15" s="123"/>
      <x:c r="H15" s="270" t="n">
        <x:v>1.5</x:v>
      </x:c>
      <x:c r="I15" s="332" t="n">
        <x:f>'07_Contribution'!F19-'07_Contribution'!F8-'07_Contribution'!F9+'01_Assumptions'!F5*I$14*'02B_Partner_Economics'!F47/1000000*'02B_Partner_Economics'!F56+'01_Assumptions'!F5*$H15*'02B_Partner_Economics'!F49/1000000*'02B_Partner_Economics'!F57</x:f>
        <x:v>105.32576184400001</x:v>
      </x:c>
      <x:c r="J15" s="332" t="n">
        <x:f>'07_Contribution'!F19-'07_Contribution'!F8-'07_Contribution'!F9+'01_Assumptions'!F5*J$14*'02B_Partner_Economics'!F47/1000000*'02B_Partner_Economics'!F56+'01_Assumptions'!F5*$H15*'02B_Partner_Economics'!F49/1000000*'02B_Partner_Economics'!F57</x:f>
        <x:v>106.64876184400002</x:v>
      </x:c>
      <x:c r="K15" s="332" t="n">
        <x:f>'07_Contribution'!F19-'07_Contribution'!F8-'07_Contribution'!F9+'01_Assumptions'!F5*K$14*'02B_Partner_Economics'!F47/1000000*'02B_Partner_Economics'!F56+'01_Assumptions'!F5*$H15*'02B_Partner_Economics'!F49/1000000*'02B_Partner_Economics'!F57</x:f>
        <x:v>107.97176184400001</x:v>
      </x:c>
      <x:c r="L15" s="332" t="n">
        <x:f>'07_Contribution'!F19-'07_Contribution'!F8-'07_Contribution'!F9+'01_Assumptions'!F5*L$14*'02B_Partner_Economics'!F47/1000000*'02B_Partner_Economics'!F56+'01_Assumptions'!F5*$H15*'02B_Partner_Economics'!F49/1000000*'02B_Partner_Economics'!F57</x:f>
        <x:v>109.29476184400002</x:v>
      </x:c>
      <x:c r="M15" s="332" t="n">
        <x:f>'07_Contribution'!F19-'07_Contribution'!F8-'07_Contribution'!F9+'01_Assumptions'!F5*M$14*'02B_Partner_Economics'!F47/1000000*'02B_Partner_Economics'!F56+'01_Assumptions'!F5*$H15*'02B_Partner_Economics'!F49/1000000*'02B_Partner_Economics'!F57</x:f>
        <x:v>110.61776184400001</x:v>
      </x:c>
      <x:c r="N15" s="123"/>
    </x:row>
    <x:row r="16" ht="15" hidden="0" customHeight="1">
      <x:c r="A16" s="270" t="n">
        <x:v>2</x:v>
      </x:c>
      <x:c r="B16" s="332" t="n">
        <x:f>'06_Revenue'!F23-'06_Revenue'!F7-'06_Revenue'!F8+'01_Assumptions'!F5*B$14*'02B_Partner_Economics'!F47/1000000+'01_Assumptions'!F5*$A16*'02B_Partner_Economics'!F49/1000000</x:f>
        <x:v>184.5594442</x:v>
      </x:c>
      <x:c r="C16" s="332" t="n">
        <x:f>'06_Revenue'!F23-'06_Revenue'!F7-'06_Revenue'!F8+'01_Assumptions'!F5*C$14*'02B_Partner_Economics'!F47/1000000+'01_Assumptions'!F5*$A16*'02B_Partner_Economics'!F49/1000000</x:f>
        <x:v>186.0294442</x:v>
      </x:c>
      <x:c r="D16" s="332" t="n">
        <x:f>'06_Revenue'!F23-'06_Revenue'!F7-'06_Revenue'!F8+'01_Assumptions'!F5*D$14*'02B_Partner_Economics'!F47/1000000+'01_Assumptions'!F5*$A16*'02B_Partner_Economics'!F49/1000000</x:f>
        <x:v>187.4994442</x:v>
      </x:c>
      <x:c r="E16" s="332" t="n">
        <x:f>'06_Revenue'!F23-'06_Revenue'!F7-'06_Revenue'!F8+'01_Assumptions'!F5*E$14*'02B_Partner_Economics'!F47/1000000+'01_Assumptions'!F5*$A16*'02B_Partner_Economics'!F49/1000000</x:f>
        <x:v>188.9694442</x:v>
      </x:c>
      <x:c r="F16" s="332" t="n">
        <x:f>'06_Revenue'!F23-'06_Revenue'!F7-'06_Revenue'!F8+'01_Assumptions'!F5*F$14*'02B_Partner_Economics'!F47/1000000+'01_Assumptions'!F5*$A16*'02B_Partner_Economics'!F49/1000000</x:f>
        <x:v>190.4394442</x:v>
      </x:c>
      <x:c r="G16" s="123"/>
      <x:c r="H16" s="270" t="n">
        <x:v>2</x:v>
      </x:c>
      <x:c r="I16" s="332" t="n">
        <x:f>'07_Contribution'!F19-'07_Contribution'!F8-'07_Contribution'!F9+'01_Assumptions'!F5*I$14*'02B_Partner_Economics'!F47/1000000*'02B_Partner_Economics'!F56+'01_Assumptions'!F5*$H16*'02B_Partner_Economics'!F49/1000000*'02B_Partner_Economics'!F57</x:f>
        <x:v>106.554681844</x:v>
      </x:c>
      <x:c r="J16" s="332" t="n">
        <x:f>'07_Contribution'!F19-'07_Contribution'!F8-'07_Contribution'!F9+'01_Assumptions'!F5*J$14*'02B_Partner_Economics'!F47/1000000*'02B_Partner_Economics'!F56+'01_Assumptions'!F5*$H16*'02B_Partner_Economics'!F49/1000000*'02B_Partner_Economics'!F57</x:f>
        <x:v>107.87768184400001</x:v>
      </x:c>
      <x:c r="K16" s="332" t="n">
        <x:f>'07_Contribution'!F19-'07_Contribution'!F8-'07_Contribution'!F9+'01_Assumptions'!F5*K$14*'02B_Partner_Economics'!F47/1000000*'02B_Partner_Economics'!F56+'01_Assumptions'!F5*$H16*'02B_Partner_Economics'!F49/1000000*'02B_Partner_Economics'!F57</x:f>
        <x:v>109.200681844</x:v>
      </x:c>
      <x:c r="L16" s="332" t="n">
        <x:f>'07_Contribution'!F19-'07_Contribution'!F8-'07_Contribution'!F9+'01_Assumptions'!F5*L$14*'02B_Partner_Economics'!F47/1000000*'02B_Partner_Economics'!F56+'01_Assumptions'!F5*$H16*'02B_Partner_Economics'!F49/1000000*'02B_Partner_Economics'!F57</x:f>
        <x:v>110.52368184400001</x:v>
      </x:c>
      <x:c r="M16" s="332" t="n">
        <x:f>'07_Contribution'!F19-'07_Contribution'!F8-'07_Contribution'!F9+'01_Assumptions'!F5*M$14*'02B_Partner_Economics'!F47/1000000*'02B_Partner_Economics'!F56+'01_Assumptions'!F5*$H16*'02B_Partner_Economics'!F49/1000000*'02B_Partner_Economics'!F57</x:f>
        <x:v>111.846681844</x:v>
      </x:c>
      <x:c r="N16" s="123"/>
    </x:row>
    <x:row r="17" ht="15" hidden="0" customHeight="1">
      <x:c r="A17" s="270" t="n">
        <x:v>2.5</x:v>
      </x:c>
      <x:c r="B17" s="332" t="n">
        <x:f>'06_Revenue'!F23-'06_Revenue'!F7-'06_Revenue'!F8+'01_Assumptions'!F5*B$14*'02B_Partner_Economics'!F47/1000000+'01_Assumptions'!F5*$A17*'02B_Partner_Economics'!F49/1000000</x:f>
        <x:v>185.95594419999998</x:v>
      </x:c>
      <x:c r="C17" s="332" t="n">
        <x:f>'06_Revenue'!F23-'06_Revenue'!F7-'06_Revenue'!F8+'01_Assumptions'!F5*C$14*'02B_Partner_Economics'!F47/1000000+'01_Assumptions'!F5*$A17*'02B_Partner_Economics'!F49/1000000</x:f>
        <x:v>187.42594419999998</x:v>
      </x:c>
      <x:c r="D17" s="332" t="n">
        <x:f>'06_Revenue'!F23-'06_Revenue'!F7-'06_Revenue'!F8+'01_Assumptions'!F5*D$14*'02B_Partner_Economics'!F47/1000000+'01_Assumptions'!F5*$A17*'02B_Partner_Economics'!F49/1000000</x:f>
        <x:v>188.89594419999997</x:v>
      </x:c>
      <x:c r="E17" s="332" t="n">
        <x:f>'06_Revenue'!F23-'06_Revenue'!F7-'06_Revenue'!F8+'01_Assumptions'!F5*E$14*'02B_Partner_Economics'!F47/1000000+'01_Assumptions'!F5*$A17*'02B_Partner_Economics'!F49/1000000</x:f>
        <x:v>190.36594419999997</x:v>
      </x:c>
      <x:c r="F17" s="332" t="n">
        <x:f>'06_Revenue'!F23-'06_Revenue'!F7-'06_Revenue'!F8+'01_Assumptions'!F5*F$14*'02B_Partner_Economics'!F47/1000000+'01_Assumptions'!F5*$A17*'02B_Partner_Economics'!F49/1000000</x:f>
        <x:v>191.83594419999997</x:v>
      </x:c>
      <x:c r="G17" s="123"/>
      <x:c r="H17" s="270" t="n">
        <x:v>2.5</x:v>
      </x:c>
      <x:c r="I17" s="332" t="n">
        <x:f>'07_Contribution'!F19-'07_Contribution'!F8-'07_Contribution'!F9+'01_Assumptions'!F5*I$14*'02B_Partner_Economics'!F47/1000000*'02B_Partner_Economics'!F56+'01_Assumptions'!F5*$H17*'02B_Partner_Economics'!F49/1000000*'02B_Partner_Economics'!F57</x:f>
        <x:v>107.783601844</x:v>
      </x:c>
      <x:c r="J17" s="332" t="n">
        <x:f>'07_Contribution'!F19-'07_Contribution'!F8-'07_Contribution'!F9+'01_Assumptions'!F5*J$14*'02B_Partner_Economics'!F47/1000000*'02B_Partner_Economics'!F56+'01_Assumptions'!F5*$H17*'02B_Partner_Economics'!F49/1000000*'02B_Partner_Economics'!F57</x:f>
        <x:v>109.10660184400001</x:v>
      </x:c>
      <x:c r="K17" s="332" t="n">
        <x:f>'07_Contribution'!F19-'07_Contribution'!F8-'07_Contribution'!F9+'01_Assumptions'!F5*K$14*'02B_Partner_Economics'!F47/1000000*'02B_Partner_Economics'!F56+'01_Assumptions'!F5*$H17*'02B_Partner_Economics'!F49/1000000*'02B_Partner_Economics'!F57</x:f>
        <x:v>110.429601844</x:v>
      </x:c>
      <x:c r="L17" s="332" t="n">
        <x:f>'07_Contribution'!F19-'07_Contribution'!F8-'07_Contribution'!F9+'01_Assumptions'!F5*L$14*'02B_Partner_Economics'!F47/1000000*'02B_Partner_Economics'!F56+'01_Assumptions'!F5*$H17*'02B_Partner_Economics'!F49/1000000*'02B_Partner_Economics'!F57</x:f>
        <x:v>111.75260184400001</x:v>
      </x:c>
      <x:c r="M17" s="332" t="n">
        <x:f>'07_Contribution'!F19-'07_Contribution'!F8-'07_Contribution'!F9+'01_Assumptions'!F5*M$14*'02B_Partner_Economics'!F47/1000000*'02B_Partner_Economics'!F56+'01_Assumptions'!F5*$H17*'02B_Partner_Economics'!F49/1000000*'02B_Partner_Economics'!F57</x:f>
        <x:v>113.075601844</x:v>
      </x:c>
      <x:c r="N17" s="123"/>
    </x:row>
    <x:row r="18" ht="15" hidden="0" customHeight="1">
      <x:c r="A18" s="270" t="n">
        <x:v>3</x:v>
      </x:c>
      <x:c r="B18" s="332" t="n">
        <x:f>'06_Revenue'!F23-'06_Revenue'!F7-'06_Revenue'!F8+'01_Assumptions'!F5*B$14*'02B_Partner_Economics'!F47/1000000+'01_Assumptions'!F5*$A18*'02B_Partner_Economics'!F49/1000000</x:f>
        <x:v>187.35244419999998</x:v>
      </x:c>
      <x:c r="C18" s="332" t="n">
        <x:f>'06_Revenue'!F23-'06_Revenue'!F7-'06_Revenue'!F8+'01_Assumptions'!F5*C$14*'02B_Partner_Economics'!F47/1000000+'01_Assumptions'!F5*$A18*'02B_Partner_Economics'!F49/1000000</x:f>
        <x:v>188.82244419999998</x:v>
      </x:c>
      <x:c r="D18" s="332" t="n">
        <x:f>'06_Revenue'!F23-'06_Revenue'!F7-'06_Revenue'!F8+'01_Assumptions'!F5*D$14*'02B_Partner_Economics'!F47/1000000+'01_Assumptions'!F5*$A18*'02B_Partner_Economics'!F49/1000000</x:f>
        <x:v>190.29244419999998</x:v>
      </x:c>
      <x:c r="E18" s="332" t="n">
        <x:f>'06_Revenue'!F23-'06_Revenue'!F7-'06_Revenue'!F8+'01_Assumptions'!F5*E$14*'02B_Partner_Economics'!F47/1000000+'01_Assumptions'!F5*$A18*'02B_Partner_Economics'!F49/1000000</x:f>
        <x:v>191.76244419999998</x:v>
      </x:c>
      <x:c r="F18" s="332" t="n">
        <x:f>'06_Revenue'!F23-'06_Revenue'!F7-'06_Revenue'!F8+'01_Assumptions'!F5*F$14*'02B_Partner_Economics'!F47/1000000+'01_Assumptions'!F5*$A18*'02B_Partner_Economics'!F49/1000000</x:f>
        <x:v>193.23244419999997</x:v>
      </x:c>
      <x:c r="G18" s="123"/>
      <x:c r="H18" s="270" t="n">
        <x:v>3</x:v>
      </x:c>
      <x:c r="I18" s="332" t="n">
        <x:f>'07_Contribution'!F19-'07_Contribution'!F8-'07_Contribution'!F9+'01_Assumptions'!F5*I$14*'02B_Partner_Economics'!F47/1000000*'02B_Partner_Economics'!F56+'01_Assumptions'!F5*$H18*'02B_Partner_Economics'!F49/1000000*'02B_Partner_Economics'!F57</x:f>
        <x:v>109.012521844</x:v>
      </x:c>
      <x:c r="J18" s="332" t="n">
        <x:f>'07_Contribution'!F19-'07_Contribution'!F8-'07_Contribution'!F9+'01_Assumptions'!F5*J$14*'02B_Partner_Economics'!F47/1000000*'02B_Partner_Economics'!F56+'01_Assumptions'!F5*$H18*'02B_Partner_Economics'!F49/1000000*'02B_Partner_Economics'!F57</x:f>
        <x:v>110.33552184400001</x:v>
      </x:c>
      <x:c r="K18" s="332" t="n">
        <x:f>'07_Contribution'!F19-'07_Contribution'!F8-'07_Contribution'!F9+'01_Assumptions'!F5*K$14*'02B_Partner_Economics'!F47/1000000*'02B_Partner_Economics'!F56+'01_Assumptions'!F5*$H18*'02B_Partner_Economics'!F49/1000000*'02B_Partner_Economics'!F57</x:f>
        <x:v>111.658521844</x:v>
      </x:c>
      <x:c r="L18" s="332" t="n">
        <x:f>'07_Contribution'!F19-'07_Contribution'!F8-'07_Contribution'!F9+'01_Assumptions'!F5*L$14*'02B_Partner_Economics'!F47/1000000*'02B_Partner_Economics'!F56+'01_Assumptions'!F5*$H18*'02B_Partner_Economics'!F49/1000000*'02B_Partner_Economics'!F57</x:f>
        <x:v>112.98152184400001</x:v>
      </x:c>
      <x:c r="M18" s="332" t="n">
        <x:f>'07_Contribution'!F19-'07_Contribution'!F8-'07_Contribution'!F9+'01_Assumptions'!F5*M$14*'02B_Partner_Economics'!F47/1000000*'02B_Partner_Economics'!F56+'01_Assumptions'!F5*$H18*'02B_Partner_Economics'!F49/1000000*'02B_Partner_Economics'!F57</x:f>
        <x:v>114.304521844</x:v>
      </x:c>
      <x:c r="N18" s="123"/>
    </x:row>
    <x:row r="19" ht="15" hidden="0" customHeight="1">
      <x:c r="A19" s="270" t="n">
        <x:v>3.5</x:v>
      </x:c>
      <x:c r="B19" s="332" t="n">
        <x:f>'06_Revenue'!F23-'06_Revenue'!F7-'06_Revenue'!F8+'01_Assumptions'!F5*B$14*'02B_Partner_Economics'!F47/1000000+'01_Assumptions'!F5*$A19*'02B_Partner_Economics'!F49/1000000</x:f>
        <x:v>188.74894419999998</x:v>
      </x:c>
      <x:c r="C19" s="332" t="n">
        <x:f>'06_Revenue'!F23-'06_Revenue'!F7-'06_Revenue'!F8+'01_Assumptions'!F5*C$14*'02B_Partner_Economics'!F47/1000000+'01_Assumptions'!F5*$A19*'02B_Partner_Economics'!F49/1000000</x:f>
        <x:v>190.21894419999998</x:v>
      </x:c>
      <x:c r="D19" s="332" t="n">
        <x:f>'06_Revenue'!F23-'06_Revenue'!F7-'06_Revenue'!F8+'01_Assumptions'!F5*D$14*'02B_Partner_Economics'!F47/1000000+'01_Assumptions'!F5*$A19*'02B_Partner_Economics'!F49/1000000</x:f>
        <x:v>191.68894419999998</x:v>
      </x:c>
      <x:c r="E19" s="332" t="n">
        <x:f>'06_Revenue'!F23-'06_Revenue'!F7-'06_Revenue'!F8+'01_Assumptions'!F5*E$14*'02B_Partner_Economics'!F47/1000000+'01_Assumptions'!F5*$A19*'02B_Partner_Economics'!F49/1000000</x:f>
        <x:v>193.15894419999998</x:v>
      </x:c>
      <x:c r="F19" s="332" t="n">
        <x:f>'06_Revenue'!F23-'06_Revenue'!F7-'06_Revenue'!F8+'01_Assumptions'!F5*F$14*'02B_Partner_Economics'!F47/1000000+'01_Assumptions'!F5*$A19*'02B_Partner_Economics'!F49/1000000</x:f>
        <x:v>194.62894419999998</x:v>
      </x:c>
      <x:c r="G19" s="123"/>
      <x:c r="H19" s="270" t="n">
        <x:v>3.5</x:v>
      </x:c>
      <x:c r="I19" s="332" t="n">
        <x:f>'07_Contribution'!F19-'07_Contribution'!F8-'07_Contribution'!F9+'01_Assumptions'!F5*I$14*'02B_Partner_Economics'!F47/1000000*'02B_Partner_Economics'!F56+'01_Assumptions'!F5*$H19*'02B_Partner_Economics'!F49/1000000*'02B_Partner_Economics'!F57</x:f>
        <x:v>110.24144184400001</x:v>
      </x:c>
      <x:c r="J19" s="332" t="n">
        <x:f>'07_Contribution'!F19-'07_Contribution'!F8-'07_Contribution'!F9+'01_Assumptions'!F5*J$14*'02B_Partner_Economics'!F47/1000000*'02B_Partner_Economics'!F56+'01_Assumptions'!F5*$H19*'02B_Partner_Economics'!F49/1000000*'02B_Partner_Economics'!F57</x:f>
        <x:v>111.56444184400002</x:v>
      </x:c>
      <x:c r="K19" s="332" t="n">
        <x:f>'07_Contribution'!F19-'07_Contribution'!F8-'07_Contribution'!F9+'01_Assumptions'!F5*K$14*'02B_Partner_Economics'!F47/1000000*'02B_Partner_Economics'!F56+'01_Assumptions'!F5*$H19*'02B_Partner_Economics'!F49/1000000*'02B_Partner_Economics'!F57</x:f>
        <x:v>112.88744184400001</x:v>
      </x:c>
      <x:c r="L19" s="332" t="n">
        <x:f>'07_Contribution'!F19-'07_Contribution'!F8-'07_Contribution'!F9+'01_Assumptions'!F5*L$14*'02B_Partner_Economics'!F47/1000000*'02B_Partner_Economics'!F56+'01_Assumptions'!F5*$H19*'02B_Partner_Economics'!F49/1000000*'02B_Partner_Economics'!F57</x:f>
        <x:v>114.21044184400002</x:v>
      </x:c>
      <x:c r="M19" s="332" t="n">
        <x:f>'07_Contribution'!F19-'07_Contribution'!F8-'07_Contribution'!F9+'01_Assumptions'!F5*M$14*'02B_Partner_Economics'!F47/1000000*'02B_Partner_Economics'!F56+'01_Assumptions'!F5*$H19*'02B_Partner_Economics'!F49/1000000*'02B_Partner_Economics'!F57</x:f>
        <x:v>115.53344184400001</x:v>
      </x:c>
      <x:c r="N19" s="123"/>
    </x:row>
    <x:row r="20" ht="15" hidden="0" customHeight="1">
      <x:c r="A20" s="123"/>
      <x:c r="B20" s="123"/>
      <x:c r="C20" s="123"/>
      <x:c r="D20" s="123"/>
      <x:c r="E20" s="123"/>
      <x:c r="F20" s="123"/>
      <x:c r="G20" s="123"/>
      <x:c r="H20" s="123"/>
      <x:c r="I20" s="123"/>
      <x:c r="J20" s="123"/>
      <x:c r="K20" s="123"/>
      <x:c r="L20" s="123"/>
      <x:c r="M20" s="123"/>
      <x:c r="N20" s="123"/>
    </x:row>
    <x:row r="21" ht="15" hidden="0" customHeight="1">
      <x:c r="A21" s="123"/>
      <x:c r="B21" s="123"/>
      <x:c r="C21" s="123"/>
      <x:c r="D21" s="123"/>
      <x:c r="E21" s="123"/>
      <x:c r="F21" s="123"/>
      <x:c r="G21" s="123"/>
      <x:c r="H21" s="123"/>
      <x:c r="I21" s="123"/>
      <x:c r="J21" s="123"/>
      <x:c r="K21" s="123"/>
      <x:c r="L21" s="123"/>
      <x:c r="M21" s="123"/>
      <x:c r="N21" s="123"/>
    </x:row>
    <x:row r="22" ht="15" hidden="0" customHeight="1">
      <x:c r="A22" s="123"/>
      <x:c r="B22" s="123"/>
      <x:c r="C22" s="123"/>
      <x:c r="D22" s="123"/>
      <x:c r="E22" s="123"/>
      <x:c r="F22" s="123"/>
      <x:c r="G22" s="123"/>
      <x:c r="H22" s="123"/>
      <x:c r="I22" s="123"/>
      <x:c r="J22" s="123"/>
      <x:c r="K22" s="123"/>
      <x:c r="L22" s="123"/>
      <x:c r="M22" s="123"/>
      <x:c r="N22" s="123"/>
    </x:row>
    <x:row r="23" ht="15" hidden="0" customHeight="1">
      <x:c r="A23" s="124" t="str">
        <x:v>Sensibilidad fabricante</x:v>
      </x:c>
      <x:c r="B23" s="124" t="str">
        <x:v>m2 planta</x:v>
      </x:c>
      <x:c r="C23" s="124" t="str">
        <x:v>Precio EUR</x:v>
      </x:c>
      <x:c r="D23" s="124" t="str">
        <x:v>Delta vs caso</x:v>
      </x:c>
      <x:c r="E23" s="124" t="str">
        <x:v>Tier</x:v>
      </x:c>
      <x:c r="F23" s="123" t="str"/>
      <x:c r="G23" s="124" t="str">
        <x:v>Sensibilidad montaje</x:v>
      </x:c>
      <x:c r="H23" s="124" t="str">
        <x:v>Cuadrillas</x:v>
      </x:c>
      <x:c r="I23" s="124" t="str">
        <x:v>Precio EUR</x:v>
      </x:c>
      <x:c r="J23" s="124" t="str">
        <x:v>Delta vs caso</x:v>
      </x:c>
      <x:c r="K23" s="123"/>
      <x:c r="L23" s="123"/>
      <x:c r="M23" s="123"/>
      <x:c r="N23" s="123"/>
    </x:row>
    <x:row r="24" ht="15" hidden="0" customHeight="1">
      <x:c r="A24" s="123" t="str">
        <x:v>Partner ejemplo</x:v>
      </x:c>
      <x:c r="B24" s="266" t="n">
        <x:v>4999</x:v>
      </x:c>
      <x:c r="C24" s="266" t="n">
        <x:f>IF(B24&lt;='02B_Partner_Economics'!$F$5,'02B_Partner_Economics'!$C$5,IF(B24&lt;'02B_Partner_Economics'!$E$7,'02B_Partner_Economics'!$C$6,IF(B24&lt;'02B_Partner_Economics'!$E$8,'02B_Partner_Economics'!$C$7,'02B_Partner_Economics'!$C$8)))</x:f>
        <x:v>50000</x:v>
      </x:c>
      <x:c r="D24" s="266" t="n">
        <x:f>C24-'02B_Partner_Economics'!$C$18</x:f>
        <x:v>-200000</x:v>
      </x:c>
      <x:c r="E24" s="123" t="str">
        <x:f>IF(B24&lt;='02B_Partner_Economics'!$F$5,"Small",IF(B24&lt;'02B_Partner_Economics'!$E$7,"Growth",IF(B24&lt;'02B_Partner_Economics'!$E$8,"Scale","Enterprise")))</x:f>
        <x:v>Small</x:v>
      </x:c>
      <x:c r="F24" s="123" t="str"/>
      <x:c r="G24" s="123" t="str">
        <x:v>Equipo ejemplo</x:v>
      </x:c>
      <x:c r="H24" s="266" t="n">
        <x:v>2</x:v>
      </x:c>
      <x:c r="I24" s="266" t="n">
        <x:f>IF(H24&lt;='02B_Partner_Economics'!$F$12,'02B_Partner_Economics'!$C$12,IF(H24&lt;='02B_Partner_Economics'!$F$13,'02B_Partner_Economics'!$C$13,MAX('02B_Partner_Economics'!$C$13,H24*'02B_Partner_Economics'!$C$14)))</x:f>
        <x:v>35000</x:v>
      </x:c>
      <x:c r="J24" s="266" t="n">
        <x:f>I24-'02B_Partner_Economics'!$C$19</x:f>
        <x:v>0</x:v>
      </x:c>
      <x:c r="K24" s="123"/>
      <x:c r="L24" s="123"/>
      <x:c r="M24" s="123"/>
      <x:c r="N24" s="123"/>
    </x:row>
    <x:row r="25" ht="15" hidden="0" customHeight="1">
      <x:c r="A25" s="123" t="str">
        <x:v>Partner ejemplo</x:v>
      </x:c>
      <x:c r="B25" s="266" t="n">
        <x:v>10000</x:v>
      </x:c>
      <x:c r="C25" s="266" t="n">
        <x:f>IF(B25&lt;='02B_Partner_Economics'!$F$5,'02B_Partner_Economics'!$C$5,IF(B25&lt;'02B_Partner_Economics'!$E$7,'02B_Partner_Economics'!$C$6,IF(B25&lt;'02B_Partner_Economics'!$E$8,'02B_Partner_Economics'!$C$7,'02B_Partner_Economics'!$C$8)))</x:f>
        <x:v>120000</x:v>
      </x:c>
      <x:c r="D25" s="266" t="n">
        <x:f>C25-'02B_Partner_Economics'!$C$18</x:f>
        <x:v>-130000</x:v>
      </x:c>
      <x:c r="E25" s="123" t="str">
        <x:f>IF(B25&lt;='02B_Partner_Economics'!$F$5,"Small",IF(B25&lt;'02B_Partner_Economics'!$E$7,"Growth",IF(B25&lt;'02B_Partner_Economics'!$E$8,"Scale","Enterprise")))</x:f>
        <x:v>Growth</x:v>
      </x:c>
      <x:c r="F25" s="123" t="str"/>
      <x:c r="G25" s="123" t="str">
        <x:v>Equipo ejemplo</x:v>
      </x:c>
      <x:c r="H25" s="266" t="n">
        <x:v>4</x:v>
      </x:c>
      <x:c r="I25" s="266" t="n">
        <x:f>IF(H25&lt;='02B_Partner_Economics'!$F$12,'02B_Partner_Economics'!$C$12,IF(H25&lt;='02B_Partner_Economics'!$F$13,'02B_Partner_Economics'!$C$13,MAX('02B_Partner_Economics'!$C$13,H25*'02B_Partner_Economics'!$C$14)))</x:f>
        <x:v>75000</x:v>
      </x:c>
      <x:c r="J25" s="266" t="n">
        <x:f>I25-'02B_Partner_Economics'!$C$19</x:f>
        <x:v>40000</x:v>
      </x:c>
      <x:c r="K25" s="123"/>
      <x:c r="L25" s="123"/>
      <x:c r="M25" s="123"/>
      <x:c r="N25" s="123"/>
    </x:row>
    <x:row r="26" ht="15" hidden="0" customHeight="1">
      <x:c r="A26" s="123" t="str">
        <x:v>Partner ejemplo</x:v>
      </x:c>
      <x:c r="B26" s="266" t="n">
        <x:v>35000</x:v>
      </x:c>
      <x:c r="C26" s="266" t="n">
        <x:f>IF(B26&lt;='02B_Partner_Economics'!$F$5,'02B_Partner_Economics'!$C$5,IF(B26&lt;'02B_Partner_Economics'!$E$7,'02B_Partner_Economics'!$C$6,IF(B26&lt;'02B_Partner_Economics'!$E$8,'02B_Partner_Economics'!$C$7,'02B_Partner_Economics'!$C$8)))</x:f>
        <x:v>250000</x:v>
      </x:c>
      <x:c r="D26" s="266" t="n">
        <x:f>C26-'02B_Partner_Economics'!$C$18</x:f>
        <x:v>0</x:v>
      </x:c>
      <x:c r="E26" s="123" t="str">
        <x:f>IF(B26&lt;='02B_Partner_Economics'!$F$5,"Small",IF(B26&lt;'02B_Partner_Economics'!$E$7,"Growth",IF(B26&lt;'02B_Partner_Economics'!$E$8,"Scale","Enterprise")))</x:f>
        <x:v>Scale</x:v>
      </x:c>
      <x:c r="F26" s="123" t="str"/>
      <x:c r="G26" s="123" t="str">
        <x:v>Equipo ejemplo</x:v>
      </x:c>
      <x:c r="H26" s="266" t="n">
        <x:v>6</x:v>
      </x:c>
      <x:c r="I26" s="266" t="n">
        <x:f>IF(H26&lt;='02B_Partner_Economics'!$F$12,'02B_Partner_Economics'!$C$12,IF(H26&lt;='02B_Partner_Economics'!$F$13,'02B_Partner_Economics'!$C$13,MAX('02B_Partner_Economics'!$C$13,H26*'02B_Partner_Economics'!$C$14)))</x:f>
        <x:v>75000</x:v>
      </x:c>
      <x:c r="J26" s="266" t="n">
        <x:f>I26-'02B_Partner_Economics'!$C$19</x:f>
        <x:v>40000</x:v>
      </x:c>
      <x:c r="K26" s="123"/>
      <x:c r="L26" s="123"/>
      <x:c r="M26" s="123"/>
      <x:c r="N26" s="123"/>
    </x:row>
    <x:row r="27" ht="15" hidden="0" customHeight="1">
      <x:c r="A27" s="123" t="str">
        <x:v>Partner ejemplo</x:v>
      </x:c>
      <x:c r="B27" s="266" t="n">
        <x:v>50000</x:v>
      </x:c>
      <x:c r="C27" s="266" t="n">
        <x:f>IF(B27&lt;='02B_Partner_Economics'!$F$5,'02B_Partner_Economics'!$C$5,IF(B27&lt;'02B_Partner_Economics'!$E$7,'02B_Partner_Economics'!$C$6,IF(B27&lt;'02B_Partner_Economics'!$E$8,'02B_Partner_Economics'!$C$7,'02B_Partner_Economics'!$C$8)))</x:f>
        <x:v>400000</x:v>
      </x:c>
      <x:c r="D27" s="266" t="n">
        <x:f>C27-'02B_Partner_Economics'!$C$18</x:f>
        <x:v>150000</x:v>
      </x:c>
      <x:c r="E27" s="123" t="str">
        <x:f>IF(B27&lt;='02B_Partner_Economics'!$F$5,"Small",IF(B27&lt;'02B_Partner_Economics'!$E$7,"Growth",IF(B27&lt;'02B_Partner_Economics'!$E$8,"Scale","Enterprise")))</x:f>
        <x:v>Enterprise</x:v>
      </x:c>
      <x:c r="F27" s="123" t="str"/>
      <x:c r="G27" s="123" t="str">
        <x:v>Equipo ejemplo</x:v>
      </x:c>
      <x:c r="H27" s="266" t="n">
        <x:v>8</x:v>
      </x:c>
      <x:c r="I27" s="266" t="n">
        <x:f>IF(H27&lt;='02B_Partner_Economics'!$F$12,'02B_Partner_Economics'!$C$12,IF(H27&lt;='02B_Partner_Economics'!$F$13,'02B_Partner_Economics'!$C$13,MAX('02B_Partner_Economics'!$C$13,H27*'02B_Partner_Economics'!$C$14)))</x:f>
        <x:v>96000</x:v>
      </x:c>
      <x:c r="J27" s="266" t="n">
        <x:f>I27-'02B_Partner_Economics'!$C$19</x:f>
        <x:v>61000</x:v>
      </x:c>
      <x:c r="K27" s="123"/>
      <x:c r="L27" s="123"/>
      <x:c r="M27" s="123"/>
      <x:c r="N27" s="123"/>
    </x:row>
    <x:row r="28" ht="15" hidden="0" customHeight="1">
      <x:c r="A28" s="123" t="str">
        <x:v>Partner ejemplo</x:v>
      </x:c>
      <x:c r="B28" s="266" t="n">
        <x:v>80000</x:v>
      </x:c>
      <x:c r="C28" s="266" t="n">
        <x:f>IF(B28&lt;='02B_Partner_Economics'!$F$5,'02B_Partner_Economics'!$C$5,IF(B28&lt;'02B_Partner_Economics'!$E$7,'02B_Partner_Economics'!$C$6,IF(B28&lt;'02B_Partner_Economics'!$E$8,'02B_Partner_Economics'!$C$7,'02B_Partner_Economics'!$C$8)))</x:f>
        <x:v>400000</x:v>
      </x:c>
      <x:c r="D28" s="266" t="n">
        <x:f>C28-'02B_Partner_Economics'!$C$18</x:f>
        <x:v>150000</x:v>
      </x:c>
      <x:c r="E28" s="123" t="str">
        <x:f>IF(B28&lt;='02B_Partner_Economics'!$F$5,"Small",IF(B28&lt;'02B_Partner_Economics'!$E$7,"Growth",IF(B28&lt;'02B_Partner_Economics'!$E$8,"Scale","Enterprise")))</x:f>
        <x:v>Enterprise</x:v>
      </x:c>
      <x:c r="F28" s="123" t="str"/>
      <x:c r="G28" s="123" t="str">
        <x:v>Equipo ejemplo</x:v>
      </x:c>
      <x:c r="H28" s="266" t="n">
        <x:v>12</x:v>
      </x:c>
      <x:c r="I28" s="266" t="n">
        <x:f>IF(H28&lt;='02B_Partner_Economics'!$F$12,'02B_Partner_Economics'!$C$12,IF(H28&lt;='02B_Partner_Economics'!$F$13,'02B_Partner_Economics'!$C$13,MAX('02B_Partner_Economics'!$C$13,H28*'02B_Partner_Economics'!$C$14)))</x:f>
        <x:v>144000</x:v>
      </x:c>
      <x:c r="J28" s="266" t="n">
        <x:f>I28-'02B_Partner_Economics'!$C$19</x:f>
        <x:v>109000</x:v>
      </x:c>
      <x:c r="K28" s="123"/>
      <x:c r="L28" s="123"/>
      <x:c r="M28" s="123"/>
      <x:c r="N28" s="123"/>
    </x:row>
    <x:row r="29" ht="15" hidden="0" customHeight="1">
      <x:c r="A29" s="123"/>
      <x:c r="B29" s="123"/>
      <x:c r="C29" s="123"/>
      <x:c r="D29" s="123"/>
      <x:c r="E29" s="123"/>
      <x:c r="F29" s="123"/>
      <x:c r="G29" s="123"/>
      <x:c r="H29" s="123"/>
      <x:c r="I29" s="123"/>
      <x:c r="J29" s="123"/>
      <x:c r="K29" s="123"/>
      <x:c r="L29" s="123"/>
      <x:c r="M29" s="123"/>
      <x:c r="N29" s="123"/>
    </x:row>
    <x:row r="30" ht="15" hidden="0" customHeight="1">
      <x:c r="A30" s="123"/>
      <x:c r="B30" s="123"/>
      <x:c r="C30" s="123"/>
      <x:c r="D30" s="123"/>
      <x:c r="E30" s="123"/>
      <x:c r="F30" s="123"/>
      <x:c r="G30" s="123"/>
      <x:c r="H30" s="123"/>
      <x:c r="I30" s="123"/>
      <x:c r="J30" s="123"/>
      <x:c r="K30" s="123"/>
      <x:c r="L30" s="123"/>
      <x:c r="M30" s="123"/>
      <x:c r="N30" s="123"/>
    </x:row>
    <x:row r="31" ht="15" hidden="0" customHeight="1">
      <x:c r="A31" s="123"/>
      <x:c r="B31" s="123"/>
      <x:c r="C31" s="123"/>
      <x:c r="D31" s="123"/>
      <x:c r="E31" s="123"/>
      <x:c r="F31" s="123"/>
      <x:c r="G31" s="123"/>
      <x:c r="H31" s="123"/>
      <x:c r="I31" s="123"/>
      <x:c r="J31" s="123"/>
      <x:c r="K31" s="123"/>
      <x:c r="L31" s="123"/>
      <x:c r="M31" s="123"/>
      <x:c r="N31" s="123"/>
    </x:row>
    <x:row r="32" ht="15" hidden="0" customHeight="1">
      <x:c r="A32" s="123"/>
      <x:c r="B32" s="123"/>
      <x:c r="C32" s="123"/>
      <x:c r="D32" s="123"/>
      <x:c r="E32" s="123"/>
      <x:c r="F32" s="123"/>
      <x:c r="G32" s="123"/>
      <x:c r="H32" s="123"/>
      <x:c r="I32" s="123"/>
      <x:c r="J32" s="123"/>
      <x:c r="K32" s="123"/>
      <x:c r="L32" s="123"/>
      <x:c r="M32" s="123"/>
      <x:c r="N32" s="123"/>
    </x:row>
    <x:row r="33" ht="15" hidden="0" customHeight="1">
      <x:c r="A33" s="123"/>
      <x:c r="B33" s="123"/>
      <x:c r="C33" s="123"/>
      <x:c r="D33" s="123"/>
      <x:c r="E33" s="123"/>
      <x:c r="F33" s="123"/>
      <x:c r="G33" s="123"/>
      <x:c r="H33" s="123"/>
      <x:c r="I33" s="123"/>
      <x:c r="J33" s="123"/>
      <x:c r="K33" s="123"/>
      <x:c r="L33" s="123"/>
      <x:c r="M33" s="123"/>
      <x:c r="N33" s="123"/>
    </x:row>
    <x:row r="34" ht="15" hidden="0" customHeight="1">
      <x:c r="A34" s="123"/>
      <x:c r="B34" s="123"/>
      <x:c r="C34" s="123"/>
      <x:c r="D34" s="123"/>
      <x:c r="E34" s="123"/>
      <x:c r="F34" s="123"/>
      <x:c r="G34" s="123"/>
      <x:c r="H34" s="123"/>
      <x:c r="I34" s="123"/>
      <x:c r="J34" s="123"/>
      <x:c r="K34" s="123"/>
      <x:c r="L34" s="123"/>
      <x:c r="M34" s="123"/>
      <x:c r="N34" s="123"/>
    </x:row>
  </x:sheetData>
  <x:mergeCells>
    <x:mergeCell ref="A1:H1"/>
    <x:mergeCell ref="A2:H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.880001068115234" hidden="0" customWidth="1"/>
    <x:col min="2" max="2" width="21.3799991607666" hidden="0" customWidth="1"/>
    <x:col min="3" max="3" width="17.5" hidden="0" customWidth="1"/>
    <x:col min="4" max="4" width="15.5" hidden="0" customWidth="1"/>
    <x:col min="5" max="5" width="45.130001068115234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15" hidden="0" customHeight="1">
      <x:c r="A1" s="121" t="str">
        <x:v>13 Dashboard</x:v>
      </x:c>
      <x:c r="B1" s="121"/>
      <x:c r="C1" s="121"/>
      <x:c r="D1" s="121"/>
      <x:c r="E1" s="121"/>
      <x:c r="F1" s="121"/>
      <x:c r="G1" s="121"/>
      <x:c r="H1" s="121"/>
      <x:c r="I1" s="123"/>
      <x:c r="J1" s="123"/>
      <x:c r="K1" s="123"/>
      <x:c r="L1" s="123"/>
      <x:c r="M1" s="123"/>
      <x:c r="N1" s="123"/>
      <x:c r="O1" s="123"/>
    </x:row>
    <x:row r="2" ht="15" hidden="0" customHeight="1">
      <x:c r="A2" s="122" t="str">
        <x:v>CUEVA V8 alternativa: plan 300K, fee 2,5 + 2,5, scale case 2030 y valoracion.</x:v>
      </x:c>
      <x:c r="B2" s="122"/>
      <x:c r="C2" s="122"/>
      <x:c r="D2" s="122"/>
      <x:c r="E2" s="122"/>
      <x:c r="F2" s="122"/>
      <x:c r="G2" s="122"/>
      <x:c r="H2" s="122"/>
      <x:c r="I2" s="123"/>
      <x:c r="J2" s="123"/>
      <x:c r="K2" s="123"/>
      <x:c r="L2" s="123"/>
      <x:c r="M2" s="123"/>
      <x:c r="N2" s="123"/>
      <x:c r="O2" s="123"/>
    </x:row>
    <x:row r="3" ht="15" hidden="0" customHeight="1">
      <x:c r="A3" s="123"/>
      <x:c r="B3" s="123"/>
      <x:c r="C3" s="123"/>
      <x:c r="D3" s="123"/>
      <x:c r="E3" s="123"/>
      <x:c r="F3" s="123"/>
      <x:c r="G3" s="123"/>
      <x:c r="H3" s="123"/>
      <x:c r="I3" s="123"/>
      <x:c r="J3" s="123"/>
      <x:c r="K3" s="123"/>
      <x:c r="L3" s="123"/>
      <x:c r="M3" s="123"/>
      <x:c r="N3" s="123"/>
      <x:c r="O3" s="123"/>
    </x:row>
    <x:row r="4" ht="15" hidden="0" customHeight="1">
      <x:c r="A4" s="124" t="str">
        <x:v>Bloque</x:v>
      </x:c>
      <x:c r="B4" s="124" t="str">
        <x:v>KPI</x:v>
      </x:c>
      <x:c r="C4" s="124" t="str">
        <x:v>Valor</x:v>
      </x:c>
      <x:c r="D4" s="124" t="str">
        <x:v>Unidad</x:v>
      </x:c>
      <x:c r="E4" s="124" t="str">
        <x:v>Lectura</x:v>
      </x:c>
      <x:c r="F4" s="123"/>
      <x:c r="G4" s="123"/>
      <x:c r="H4" s="123"/>
      <x:c r="I4" s="123"/>
      <x:c r="J4" s="123"/>
      <x:c r="K4" s="123"/>
      <x:c r="L4" s="123"/>
      <x:c r="M4" s="123"/>
      <x:c r="N4" s="123"/>
      <x:c r="O4" s="123"/>
    </x:row>
    <x:row r="5" ht="15" hidden="0" customHeight="1">
      <x:c r="A5" s="125" t="str">
        <x:v>Plan base 300K</x:v>
      </x:c>
      <x:c r="B5" s="383" t="str">
        <x:v>Capital minimo</x:v>
      </x:c>
      <x:c r="C5" s="319" t="n">
        <x:f>'03_Use_Funds'!B12</x:f>
        <x:v>300000</x:v>
      </x:c>
      <x:c r="D5" s="383" t="str">
        <x:v>EUR</x:v>
      </x:c>
      <x:c r="E5" s="320" t="str">
        <x:v>Financia saneamiento, producto, equipo y salida comercial</x:v>
      </x:c>
      <x:c r="F5" s="123"/>
      <x:c r="G5" s="123"/>
      <x:c r="H5" s="123"/>
      <x:c r="I5" s="123"/>
      <x:c r="J5" s="123"/>
      <x:c r="K5" s="123"/>
      <x:c r="L5" s="123"/>
      <x:c r="M5" s="123"/>
      <x:c r="N5" s="123"/>
      <x:c r="O5" s="123"/>
    </x:row>
    <x:row r="6" ht="15" hidden="0" customHeight="1">
      <x:c r="A6" s="129" t="str">
        <x:v>Plan base 300K</x:v>
      </x:c>
      <x:c r="B6" s="384" t="str">
        <x:v>Revenue 2027 management</x:v>
      </x:c>
      <x:c r="C6" s="385" t="n">
        <x:f>'02_Plan_300K'!C19</x:f>
        <x:v>1670000</x:v>
      </x:c>
      <x:c r="D6" s="384" t="str">
        <x:v>EUR</x:v>
      </x:c>
      <x:c r="E6" s="321" t="str">
        <x:v>Un solo KIWA; pricing partner y fees reconstruidos</x:v>
      </x:c>
      <x:c r="F6" s="123"/>
      <x:c r="G6" s="123"/>
      <x:c r="H6" s="123"/>
      <x:c r="I6" s="123"/>
      <x:c r="J6" s="123"/>
      <x:c r="K6" s="123"/>
      <x:c r="L6" s="123"/>
      <x:c r="M6" s="123"/>
      <x:c r="N6" s="123"/>
      <x:c r="O6" s="123"/>
    </x:row>
    <x:row r="7" ht="15" hidden="0" customHeight="1">
      <x:c r="A7" s="129" t="str">
        <x:v>Plan base 300K</x:v>
      </x:c>
      <x:c r="B7" s="384" t="str">
        <x:v>Revenue 2027 ponderado</x:v>
      </x:c>
      <x:c r="C7" s="385" t="n">
        <x:f>'02_Plan_300K'!F19</x:f>
        <x:v>1104000</x:v>
      </x:c>
      <x:c r="D7" s="384" t="str">
        <x:v>EUR</x:v>
      </x:c>
      <x:c r="E7" s="321" t="str">
        <x:v>Lectura risk-adjusted del pipeline</x:v>
      </x:c>
      <x:c r="F7" s="123"/>
      <x:c r="G7" s="123"/>
      <x:c r="H7" s="123"/>
      <x:c r="I7" s="123"/>
      <x:c r="J7" s="123"/>
      <x:c r="K7" s="123"/>
      <x:c r="L7" s="123"/>
      <x:c r="M7" s="123"/>
      <x:c r="N7" s="123"/>
      <x:c r="O7" s="123"/>
    </x:row>
    <x:row r="8" ht="15" hidden="0" customHeight="1">
      <x:c r="A8" s="129" t="str">
        <x:v>Plan base 300K</x:v>
      </x:c>
      <x:c r="B8" s="384" t="str">
        <x:v>EBITDA 2027 management</x:v>
      </x:c>
      <x:c r="C8" s="385" t="n">
        <x:f>'02_Plan_300K'!C22</x:f>
        <x:v>313999</x:v>
      </x:c>
      <x:c r="D8" s="384" t="str">
        <x:v>EUR</x:v>
      </x:c>
      <x:c r="E8" s="321" t="str">
        <x:v>Contribucion por linea menos OPEX</x:v>
      </x:c>
      <x:c r="F8" s="123"/>
      <x:c r="G8" s="123"/>
      <x:c r="H8" s="123"/>
      <x:c r="I8" s="123"/>
      <x:c r="J8" s="123"/>
      <x:c r="K8" s="123"/>
      <x:c r="L8" s="123"/>
      <x:c r="M8" s="123"/>
      <x:c r="N8" s="123"/>
      <x:c r="O8" s="123"/>
    </x:row>
    <x:row r="9" ht="15" hidden="0" customHeight="1">
      <x:c r="A9" s="129" t="str">
        <x:v>Plan base 300K</x:v>
      </x:c>
      <x:c r="B9" s="384" t="str">
        <x:v>EBITDA 2027 ponderado</x:v>
      </x:c>
      <x:c r="C9" s="385" t="n">
        <x:f>'02_Plan_300K'!F22</x:f>
        <x:v>11039</x:v>
      </x:c>
      <x:c r="D9" s="384" t="str">
        <x:v>EUR</x:v>
      </x:c>
      <x:c r="E9" s="321" t="str">
        <x:v>Debe protegerse con gates de contratacion</x:v>
      </x:c>
      <x:c r="F9" s="123"/>
      <x:c r="G9" s="123"/>
      <x:c r="H9" s="123"/>
      <x:c r="I9" s="123"/>
      <x:c r="J9" s="123"/>
      <x:c r="K9" s="123"/>
      <x:c r="L9" s="123"/>
      <x:c r="M9" s="123"/>
      <x:c r="N9" s="123"/>
      <x:c r="O9" s="123"/>
    </x:row>
    <x:row r="10" ht="15" hidden="0" customHeight="1">
      <x:c r="A10" s="129" t="str">
        <x:v>Plan base 300K</x:v>
      </x:c>
      <x:c r="B10" s="384" t="str">
        <x:v>Caja final management</x:v>
      </x:c>
      <x:c r="C10" s="385" t="n">
        <x:f>'02_Plan_300K'!C26</x:f>
        <x:v>327599</x:v>
      </x:c>
      <x:c r="D10" s="384" t="str">
        <x:v>EUR</x:v>
      </x:c>
      <x:c r="E10" s="321" t="str">
        <x:v>Caja al cierre de 2027</x:v>
      </x:c>
      <x:c r="F10" s="123"/>
      <x:c r="G10" s="123"/>
      <x:c r="H10" s="123"/>
      <x:c r="I10" s="123"/>
      <x:c r="J10" s="123"/>
      <x:c r="K10" s="123"/>
      <x:c r="L10" s="123"/>
      <x:c r="M10" s="123"/>
      <x:c r="N10" s="123"/>
      <x:c r="O10" s="123"/>
    </x:row>
    <x:row r="11" ht="15" hidden="0" customHeight="1">
      <x:c r="A11" s="133" t="str">
        <x:v>Plan base 300K</x:v>
      </x:c>
      <x:c r="B11" s="386" t="str">
        <x:v>Caja final ponderada</x:v>
      </x:c>
      <x:c r="C11" s="387" t="n">
        <x:f>'02_Plan_300K'!F26</x:f>
        <x:v>24639</x:v>
      </x:c>
      <x:c r="D11" s="386" t="str">
        <x:v>EUR</x:v>
      </x:c>
      <x:c r="E11" s="322" t="str">
        <x:v>Lectura prudente</x:v>
      </x:c>
      <x:c r="F11" s="123"/>
      <x:c r="G11" s="123"/>
      <x:c r="H11" s="123"/>
      <x:c r="I11" s="123"/>
      <x:c r="J11" s="123"/>
      <x:c r="K11" s="123"/>
      <x:c r="L11" s="123"/>
      <x:c r="M11" s="123"/>
      <x:c r="N11" s="123"/>
      <x:c r="O11" s="123"/>
    </x:row>
    <x:row r="12" ht="15" hidden="0" customHeight="1">
      <x:c r="A12" s="125" t="str">
        <x:v>Valoracion</x:v>
      </x:c>
      <x:c r="B12" s="383" t="str">
        <x:v>Valor actual defendido</x:v>
      </x:c>
      <x:c r="C12" s="319" t="n">
        <x:f>'10_Valuation'!C11</x:f>
        <x:v>4216175</x:v>
      </x:c>
      <x:c r="D12" s="383" t="str">
        <x:v>EUR</x:v>
      </x:c>
      <x:c r="E12" s="320" t="str">
        <x:v>Inversion acumulada y activos</x:v>
      </x:c>
      <x:c r="F12" s="123"/>
      <x:c r="G12" s="123"/>
      <x:c r="H12" s="123"/>
      <x:c r="I12" s="123"/>
      <x:c r="J12" s="123"/>
      <x:c r="K12" s="123"/>
      <x:c r="L12" s="123"/>
      <x:c r="M12" s="123"/>
      <x:c r="N12" s="123"/>
      <x:c r="O12" s="123"/>
    </x:row>
    <x:row r="13" ht="15" hidden="0" customHeight="1">
      <x:c r="A13" s="133" t="str">
        <x:v>Valoracion</x:v>
      </x:c>
      <x:c r="B13" s="386" t="str">
        <x:v>Valor objetivo fin 2027</x:v>
      </x:c>
      <x:c r="C13" s="387" t="n">
        <x:f>'10_Valuation'!C21</x:f>
        <x:v>9500000</x:v>
      </x:c>
      <x:c r="D13" s="386" t="str">
        <x:v>EUR</x:v>
      </x:c>
      <x:c r="E13" s="322" t="str">
        <x:v>Objetivo gestion; rango 8-12M</x:v>
      </x:c>
      <x:c r="F13" s="123"/>
      <x:c r="G13" s="123"/>
      <x:c r="H13" s="123"/>
      <x:c r="I13" s="123"/>
      <x:c r="J13" s="123"/>
      <x:c r="K13" s="123"/>
      <x:c r="L13" s="123"/>
      <x:c r="M13" s="123"/>
      <x:c r="N13" s="123"/>
      <x:c r="O13" s="123"/>
    </x:row>
    <x:row r="14" ht="15" hidden="0" customHeight="1">
      <x:c r="A14" s="125" t="str">
        <x:v>Scale case 2030</x:v>
      </x:c>
      <x:c r="B14" s="383" t="str">
        <x:v>Ingresos 2030</x:v>
      </x:c>
      <x:c r="C14" s="284" t="n">
        <x:f>'06_Revenue'!F23</x:f>
        <x:v>188.89594419999997</x:v>
      </x:c>
      <x:c r="D14" s="383" t="str">
        <x:v>EUR M</x:v>
      </x:c>
      <x:c r="E14" s="320" t="str">
        <x:v>Condicionado a capital de expansion y red</x:v>
      </x:c>
      <x:c r="F14" s="123"/>
      <x:c r="G14" s="123"/>
      <x:c r="H14" s="123"/>
      <x:c r="I14" s="123"/>
      <x:c r="J14" s="123"/>
      <x:c r="K14" s="123"/>
      <x:c r="L14" s="123"/>
      <x:c r="M14" s="123"/>
      <x:c r="N14" s="123"/>
      <x:c r="O14" s="123"/>
    </x:row>
    <x:row r="15" ht="15" hidden="0" customHeight="1">
      <x:c r="A15" s="129" t="str">
        <x:v>Scale case 2030</x:v>
      </x:c>
      <x:c r="B15" s="384" t="str">
        <x:v>EBITDA 2030</x:v>
      </x:c>
      <x:c r="C15" s="286" t="n">
        <x:f>'07_Contribution'!F19</x:f>
        <x:v>110.429601844</x:v>
      </x:c>
      <x:c r="D15" s="384" t="str">
        <x:v>EUR M</x:v>
      </x:c>
      <x:c r="E15" s="321" t="str">
        <x:v>Margen red/evidencia/stock vivo</x:v>
      </x:c>
      <x:c r="F15" s="123"/>
      <x:c r="G15" s="123"/>
      <x:c r="H15" s="123"/>
      <x:c r="I15" s="123"/>
      <x:c r="J15" s="123"/>
      <x:c r="K15" s="123"/>
      <x:c r="L15" s="123"/>
      <x:c r="M15" s="123"/>
      <x:c r="N15" s="123"/>
      <x:c r="O15" s="123"/>
    </x:row>
    <x:row r="16" ht="15" hidden="0" customHeight="1">
      <x:c r="A16" s="129" t="str">
        <x:v>Scale case 2030</x:v>
      </x:c>
      <x:c r="B16" s="384" t="str">
        <x:v>Margen EBITDA 2030</x:v>
      </x:c>
      <x:c r="C16" s="388" t="n">
        <x:f>'07_Contribution'!F20</x:f>
        <x:v>0.5846054679028944</x:v>
      </x:c>
      <x:c r="D16" s="384" t="str">
        <x:v>%</x:v>
      </x:c>
      <x:c r="E16" s="321" t="str">
        <x:v>Apalancamiento operativo</x:v>
      </x:c>
      <x:c r="F16" s="123"/>
      <x:c r="G16" s="123"/>
      <x:c r="H16" s="123"/>
      <x:c r="I16" s="123"/>
      <x:c r="J16" s="123"/>
      <x:c r="K16" s="123"/>
      <x:c r="L16" s="123"/>
      <x:c r="M16" s="123"/>
      <x:c r="N16" s="123"/>
      <x:c r="O16" s="123"/>
    </x:row>
    <x:row r="17" ht="15" hidden="0" customHeight="1">
      <x:c r="A17" s="129" t="str">
        <x:v>Scale case 2030</x:v>
      </x:c>
      <x:c r="B17" s="384" t="str">
        <x:v>Stock vivo 2030</x:v>
      </x:c>
      <x:c r="C17" s="286" t="n">
        <x:f>'05_m2_Stock'!F9</x:f>
        <x:v>6511000</x:v>
      </x:c>
      <x:c r="D17" s="384" t="str">
        <x:v>m2</x:v>
      </x:c>
      <x:c r="E17" s="321" t="str">
        <x:v>Multiplicador recurrente</x:v>
      </x:c>
      <x:c r="F17" s="123"/>
      <x:c r="G17" s="123"/>
      <x:c r="H17" s="123"/>
      <x:c r="I17" s="123"/>
      <x:c r="J17" s="123"/>
      <x:c r="K17" s="123"/>
      <x:c r="L17" s="123"/>
      <x:c r="M17" s="123"/>
      <x:c r="N17" s="123"/>
      <x:c r="O17" s="123"/>
    </x:row>
    <x:row r="18" ht="15" hidden="0" customHeight="1">
      <x:c r="A18" s="129" t="str">
        <x:v>Scale case 2030</x:v>
      </x:c>
      <x:c r="B18" s="384" t="str">
        <x:v>Partners activos 2030</x:v>
      </x:c>
      <x:c r="C18" s="286" t="n">
        <x:f>'05_m2_Stock'!F7</x:f>
        <x:v>23</x:v>
      </x:c>
      <x:c r="D18" s="384" t="str">
        <x:v>partners</x:v>
      </x:c>
      <x:c r="E18" s="321" t="str">
        <x:v>11 fabricantes + 12 montadores</x:v>
      </x:c>
      <x:c r="F18" s="123"/>
      <x:c r="G18" s="123"/>
      <x:c r="H18" s="123"/>
      <x:c r="I18" s="123"/>
      <x:c r="J18" s="123"/>
      <x:c r="K18" s="123"/>
      <x:c r="L18" s="123"/>
      <x:c r="M18" s="123"/>
      <x:c r="N18" s="123"/>
      <x:c r="O18" s="123"/>
    </x:row>
    <x:row r="19" ht="15" hidden="0" customHeight="1">
      <x:c r="A19" s="129" t="str">
        <x:v>Scale case 2030</x:v>
      </x:c>
      <x:c r="B19" s="384" t="str">
        <x:v>Fee combinado efectivo</x:v>
      </x:c>
      <x:c r="C19" s="389" t="n">
        <x:f>'02B_Partner_Economics'!F50</x:f>
        <x:v>4.875</x:v>
      </x:c>
      <x:c r="D19" s="384" t="str">
        <x:v>EUR/m2</x:v>
      </x:c>
      <x:c r="E19" s="321" t="str">
        <x:v>2,50 fabricante + cobertura de montaje</x:v>
      </x:c>
      <x:c r="F19" s="123"/>
      <x:c r="G19" s="123"/>
      <x:c r="H19" s="123"/>
      <x:c r="I19" s="123"/>
      <x:c r="J19" s="123"/>
      <x:c r="K19" s="123"/>
      <x:c r="L19" s="123"/>
      <x:c r="M19" s="123"/>
      <x:c r="N19" s="123"/>
      <x:c r="O19" s="123"/>
    </x:row>
    <x:row r="20" ht="15" hidden="0" customHeight="1">
      <x:c r="A20" s="129" t="str">
        <x:v>Valoracion 2030</x:v>
      </x:c>
      <x:c r="B20" s="384" t="str">
        <x:v>EV midpoint</x:v>
      </x:c>
      <x:c r="C20" s="286" t="n">
        <x:f>'10_Valuation'!F7</x:f>
        <x:v>1599.7874203739998</x:v>
      </x:c>
      <x:c r="D20" s="384" t="str">
        <x:v>EUR M</x:v>
      </x:c>
      <x:c r="E20" s="321" t="str">
        <x:v>Metodo ingresos/EBITDA</x:v>
      </x:c>
      <x:c r="F20" s="123"/>
      <x:c r="G20" s="123"/>
      <x:c r="H20" s="123"/>
      <x:c r="I20" s="123"/>
      <x:c r="J20" s="123"/>
      <x:c r="K20" s="123"/>
      <x:c r="L20" s="123"/>
      <x:c r="M20" s="123"/>
      <x:c r="N20" s="123"/>
      <x:c r="O20" s="123"/>
    </x:row>
    <x:row r="21" ht="15" hidden="0" customHeight="1">
      <x:c r="A21" s="133" t="str">
        <x:v>Valoracion 2030</x:v>
      </x:c>
      <x:c r="B21" s="386" t="str">
        <x:v>SOTP base</x:v>
      </x:c>
      <x:c r="C21" s="288" t="n">
        <x:f>'10_Valuation'!G32</x:f>
        <x:v>1148.1736128</x:v>
      </x:c>
      <x:c r="D21" s="386" t="str">
        <x:v>EUR M</x:v>
      </x:c>
      <x:c r="E21" s="322" t="str">
        <x:v>Cross-check por calidad de ingreso</x:v>
      </x:c>
      <x:c r="F21" s="123"/>
      <x:c r="G21" s="123"/>
      <x:c r="H21" s="123"/>
      <x:c r="I21" s="123"/>
      <x:c r="J21" s="123"/>
      <x:c r="K21" s="123"/>
      <x:c r="L21" s="123"/>
      <x:c r="M21" s="123"/>
      <x:c r="N21" s="123"/>
      <x:c r="O21" s="123"/>
    </x:row>
    <x:row r="22" ht="15" hidden="0" customHeight="1">
      <x:c r="A22" s="123"/>
      <x:c r="B22" s="123"/>
      <x:c r="C22" s="123"/>
      <x:c r="D22" s="123"/>
      <x:c r="E22" s="123"/>
      <x:c r="F22" s="123"/>
      <x:c r="G22" s="123"/>
      <x:c r="H22" s="123"/>
      <x:c r="I22" s="123"/>
      <x:c r="J22" s="123"/>
      <x:c r="K22" s="123"/>
      <x:c r="L22" s="123"/>
      <x:c r="M22" s="123"/>
      <x:c r="N22" s="123"/>
      <x:c r="O22" s="123"/>
    </x:row>
    <x:row r="23" ht="15" hidden="0" customHeight="1">
      <x:c r="A23" s="123"/>
      <x:c r="B23" s="123"/>
      <x:c r="C23" s="123"/>
      <x:c r="D23" s="123"/>
      <x:c r="E23" s="123"/>
      <x:c r="F23" s="123"/>
      <x:c r="G23" s="123"/>
      <x:c r="H23" s="123"/>
      <x:c r="I23" s="123"/>
      <x:c r="J23" s="123"/>
      <x:c r="K23" s="123"/>
      <x:c r="L23" s="123"/>
      <x:c r="M23" s="123"/>
      <x:c r="N23" s="123"/>
      <x:c r="O23" s="123"/>
    </x:row>
    <x:row r="24" ht="15" hidden="0" customHeight="1">
      <x:c r="A24" s="124" t="str">
        <x:v>Arquitectura comercial</x:v>
      </x:c>
      <x:c r="B24" s="124" t="str">
        <x:v>Valor</x:v>
      </x:c>
      <x:c r="C24" s="124" t="str">
        <x:v>Trigger</x:v>
      </x:c>
      <x:c r="D24" s="124" t="str">
        <x:v>Quien paga</x:v>
      </x:c>
      <x:c r="E24" s="124" t="str">
        <x:v>Lectura</x:v>
      </x:c>
      <x:c r="F24" s="123"/>
      <x:c r="G24" s="123"/>
      <x:c r="H24" s="123"/>
      <x:c r="I24" s="123"/>
      <x:c r="J24" s="123"/>
      <x:c r="K24" s="123"/>
      <x:c r="L24" s="123"/>
      <x:c r="M24" s="123"/>
      <x:c r="N24" s="123"/>
      <x:c r="O24" s="123"/>
    </x:row>
    <x:row r="25" ht="15" hidden="0" customHeight="1">
      <x:c r="A25" s="123" t="str">
        <x:v>Fee de Red Fabricante</x:v>
      </x:c>
      <x:c r="B25" s="270" t="n">
        <x:f>'02B_Partner_Economics'!B21</x:f>
        <x:v>2.5</x:v>
      </x:c>
      <x:c r="C25" s="123" t="str">
        <x:v>m2 fabricado verificado</x:v>
      </x:c>
      <x:c r="D25" s="123" t="str">
        <x:v>Fabricante</x:v>
      </x:c>
      <x:c r="E25" s="123" t="str">
        <x:v>2,50 EUR/m2</x:v>
      </x:c>
      <x:c r="F25" s="123"/>
      <x:c r="G25" s="123"/>
      <x:c r="H25" s="123"/>
      <x:c r="I25" s="123"/>
      <x:c r="J25" s="123"/>
      <x:c r="K25" s="123"/>
      <x:c r="L25" s="123"/>
      <x:c r="M25" s="123"/>
      <x:c r="N25" s="123"/>
      <x:c r="O25" s="123"/>
    </x:row>
    <x:row r="26" ht="15" hidden="0" customHeight="1">
      <x:c r="A26" s="123" t="str">
        <x:v>Fee de Red Montaje</x:v>
      </x:c>
      <x:c r="B26" s="270" t="n">
        <x:f>'02B_Partner_Economics'!B22</x:f>
        <x:v>2.5</x:v>
      </x:c>
      <x:c r="C26" s="123" t="str">
        <x:v>m2 instalado verificado</x:v>
      </x:c>
      <x:c r="D26" s="123" t="str">
        <x:v>Montador</x:v>
      </x:c>
      <x:c r="E26" s="123" t="str">
        <x:v>2,50 EUR/m2</x:v>
      </x:c>
      <x:c r="F26" s="123"/>
      <x:c r="G26" s="123"/>
      <x:c r="H26" s="123"/>
      <x:c r="I26" s="123"/>
      <x:c r="J26" s="123"/>
      <x:c r="K26" s="123"/>
      <x:c r="L26" s="123"/>
      <x:c r="M26" s="123"/>
      <x:c r="N26" s="123"/>
      <x:c r="O26" s="123"/>
    </x:row>
    <x:row r="27" ht="15" hidden="0" customHeight="1">
      <x:c r="A27" s="123" t="str">
        <x:v>Fee combinado</x:v>
      </x:c>
      <x:c r="B27" s="270" t="n">
        <x:f>'02B_Partner_Economics'!B23</x:f>
        <x:v>5</x:v>
      </x:c>
      <x:c r="C27" s="123" t="str">
        <x:v>ambos triggers</x:v>
      </x:c>
      <x:c r="D27" s="123" t="str">
        <x:v>Dos contratos / roles</x:v>
      </x:c>
      <x:c r="E27" s="123" t="str">
        <x:v>5,00 EUR/m2 si aplica cobertura completa</x:v>
      </x:c>
      <x:c r="F27" s="123"/>
      <x:c r="G27" s="123"/>
      <x:c r="H27" s="123"/>
      <x:c r="I27" s="123"/>
      <x:c r="J27" s="123"/>
      <x:c r="K27" s="123"/>
      <x:c r="L27" s="123"/>
      <x:c r="M27" s="123"/>
      <x:c r="N27" s="123"/>
      <x:c r="O27" s="123"/>
    </x:row>
    <x:row r="28" ht="15" hidden="0" customHeight="1">
      <x:c r="A28" s="123" t="str">
        <x:v>Digitalizacion fabricante piloto</x:v>
      </x:c>
      <x:c r="B28" s="266" t="n">
        <x:f>'02B_Partner_Economics'!C18</x:f>
        <x:v>250000</x:v>
      </x:c>
      <x:c r="C28" s="123" t="str">
        <x:v>m2 reales de planta</x:v>
      </x:c>
      <x:c r="D28" s="123" t="str">
        <x:v>Fabricante</x:v>
      </x:c>
      <x:c r="E28" s="123" t="str">
        <x:v>Tier provisional Scale</x:v>
      </x:c>
      <x:c r="F28" s="123"/>
      <x:c r="G28" s="123"/>
      <x:c r="H28" s="123"/>
      <x:c r="I28" s="123"/>
      <x:c r="J28" s="123"/>
      <x:c r="K28" s="123"/>
      <x:c r="L28" s="123"/>
      <x:c r="M28" s="123"/>
      <x:c r="N28" s="123"/>
      <x:c r="O28" s="123"/>
    </x:row>
    <x:row r="29" ht="15" hidden="0" customHeight="1">
      <x:c r="A29" s="123" t="str">
        <x:v>Digitalizacion montaje piloto</x:v>
      </x:c>
      <x:c r="B29" s="266" t="n">
        <x:f>'02B_Partner_Economics'!C19</x:f>
        <x:v>35000</x:v>
      </x:c>
      <x:c r="C29" s="123" t="str">
        <x:v>numero de cuadrillas</x:v>
      </x:c>
      <x:c r="D29" s="123" t="str">
        <x:v>Montador</x:v>
      </x:c>
      <x:c r="E29" s="123" t="str">
        <x:v>Crew Starter</x:v>
      </x:c>
      <x:c r="F29" s="123"/>
      <x:c r="G29" s="123"/>
      <x:c r="H29" s="123"/>
      <x:c r="I29" s="123"/>
      <x:c r="J29" s="123"/>
      <x:c r="K29" s="123"/>
      <x:c r="L29" s="123"/>
      <x:c r="M29" s="123"/>
      <x:c r="N29" s="123"/>
      <x:c r="O29" s="123"/>
    </x:row>
    <x:row r="30" ht="15" hidden="0" customHeight="1">
      <x:c r="A30" s="123"/>
      <x:c r="B30" s="123"/>
      <x:c r="C30" s="123"/>
      <x:c r="D30" s="123"/>
      <x:c r="E30" s="123"/>
      <x:c r="F30" s="123"/>
      <x:c r="G30" s="123"/>
      <x:c r="H30" s="123"/>
      <x:c r="I30" s="123"/>
      <x:c r="J30" s="123"/>
      <x:c r="K30" s="123"/>
      <x:c r="L30" s="123"/>
      <x:c r="M30" s="123"/>
      <x:c r="N30" s="123"/>
      <x:c r="O30" s="123"/>
    </x:row>
    <x:row r="31" ht="15" hidden="0" customHeight="1">
      <x:c r="A31" s="123"/>
      <x:c r="B31" s="123"/>
      <x:c r="C31" s="123"/>
      <x:c r="D31" s="123"/>
      <x:c r="E31" s="123"/>
      <x:c r="F31" s="123"/>
      <x:c r="G31" s="123"/>
      <x:c r="H31" s="123"/>
      <x:c r="I31" s="123"/>
      <x:c r="J31" s="123"/>
      <x:c r="K31" s="123"/>
      <x:c r="L31" s="123"/>
      <x:c r="M31" s="123"/>
      <x:c r="N31" s="123"/>
      <x:c r="O31" s="123"/>
    </x:row>
    <x:row r="32" ht="15" hidden="0" customHeight="1">
      <x:c r="A32" s="123" t="str">
        <x:v>Year</x:v>
      </x:c>
      <x:c r="B32" s="123" t="str">
        <x:v>Revenue</x:v>
      </x:c>
      <x:c r="C32" s="123" t="str">
        <x:v>EBITDA</x:v>
      </x:c>
      <x:c r="D32" s="123"/>
      <x:c r="E32" s="123"/>
      <x:c r="F32" s="123"/>
      <x:c r="G32" s="123"/>
      <x:c r="H32" s="123"/>
      <x:c r="I32" s="123"/>
      <x:c r="J32" s="123"/>
      <x:c r="K32" s="123"/>
      <x:c r="L32" s="123"/>
      <x:c r="M32" s="123"/>
      <x:c r="N32" s="123"/>
      <x:c r="O32" s="123"/>
    </x:row>
    <x:row r="33" ht="15" hidden="0" customHeight="1">
      <x:c r="A33" s="123" t="str">
        <x:v>2026</x:v>
      </x:c>
      <x:c r="B33" s="332" t="n">
        <x:f>'06_Revenue'!B23</x:f>
        <x:v>2.96396</x:v>
      </x:c>
      <x:c r="C33" s="332" t="n">
        <x:f>'07_Contribution'!B19</x:f>
        <x:v>-1.6247296000000002</x:v>
      </x:c>
      <x:c r="D33" s="123"/>
      <x:c r="E33" s="123"/>
      <x:c r="F33" s="123"/>
      <x:c r="G33" s="123"/>
      <x:c r="H33" s="123"/>
      <x:c r="I33" s="123"/>
      <x:c r="J33" s="123"/>
      <x:c r="K33" s="123"/>
      <x:c r="L33" s="123"/>
      <x:c r="M33" s="123"/>
      <x:c r="N33" s="123"/>
      <x:c r="O33" s="123"/>
    </x:row>
    <x:row r="34" ht="15" hidden="0" customHeight="1">
      <x:c r="A34" s="123" t="str">
        <x:v>2027</x:v>
      </x:c>
      <x:c r="B34" s="332" t="n">
        <x:f>'06_Revenue'!C23</x:f>
        <x:v>12.722894960000001</x:v>
      </x:c>
      <x:c r="C34" s="332" t="n">
        <x:f>'07_Contribution'!C19</x:f>
        <x:v>1.9093797199999987</x:v>
      </x:c>
      <x:c r="D34" s="123"/>
      <x:c r="E34" s="123"/>
      <x:c r="F34" s="123"/>
      <x:c r="G34" s="123"/>
      <x:c r="H34" s="123"/>
      <x:c r="I34" s="123"/>
      <x:c r="J34" s="123"/>
      <x:c r="K34" s="123"/>
      <x:c r="L34" s="123"/>
      <x:c r="M34" s="123"/>
      <x:c r="N34" s="123"/>
      <x:c r="O34" s="123"/>
    </x:row>
    <x:row r="35" ht="15" hidden="0" customHeight="1">
      <x:c r="A35" s="123" t="str">
        <x:v>2028</x:v>
      </x:c>
      <x:c r="B35" s="332" t="n">
        <x:f>'06_Revenue'!D23</x:f>
        <x:v>41.8669218</x:v>
      </x:c>
      <x:c r="C35" s="332" t="n">
        <x:f>'07_Contribution'!D19</x:f>
        <x:v>16.740104686000002</x:v>
      </x:c>
      <x:c r="D35" s="123"/>
      <x:c r="E35" s="123"/>
      <x:c r="F35" s="123"/>
      <x:c r="G35" s="123"/>
      <x:c r="H35" s="123"/>
      <x:c r="I35" s="123"/>
      <x:c r="J35" s="123"/>
      <x:c r="K35" s="123"/>
      <x:c r="L35" s="123"/>
      <x:c r="M35" s="123"/>
      <x:c r="N35" s="123"/>
      <x:c r="O35" s="123"/>
    </x:row>
    <x:row r="36" ht="15" hidden="0" customHeight="1">
      <x:c r="A36" s="123" t="str">
        <x:v>2029</x:v>
      </x:c>
      <x:c r="B36" s="332" t="n">
        <x:f>'06_Revenue'!E23</x:f>
        <x:v>91.999629</x:v>
      </x:c>
      <x:c r="C36" s="332" t="n">
        <x:f>'07_Contribution'!E19</x:f>
        <x:v>47.50524691</x:v>
      </x:c>
      <x:c r="D36" s="123"/>
      <x:c r="E36" s="123"/>
      <x:c r="F36" s="123"/>
      <x:c r="G36" s="123"/>
      <x:c r="H36" s="123"/>
      <x:c r="I36" s="123"/>
      <x:c r="J36" s="123"/>
      <x:c r="K36" s="123"/>
      <x:c r="L36" s="123"/>
      <x:c r="M36" s="123"/>
      <x:c r="N36" s="123"/>
      <x:c r="O36" s="123"/>
    </x:row>
    <x:row r="37" ht="15" hidden="0" customHeight="1">
      <x:c r="A37" s="123" t="str">
        <x:v>2030</x:v>
      </x:c>
      <x:c r="B37" s="332" t="n">
        <x:f>'06_Revenue'!F23</x:f>
        <x:v>188.89594419999997</x:v>
      </x:c>
      <x:c r="C37" s="332" t="n">
        <x:f>'07_Contribution'!F19</x:f>
        <x:v>110.429601844</x:v>
      </x:c>
      <x:c r="D37" s="123"/>
      <x:c r="E37" s="123"/>
      <x:c r="F37" s="123"/>
      <x:c r="G37" s="123"/>
      <x:c r="H37" s="123"/>
      <x:c r="I37" s="123"/>
      <x:c r="J37" s="123"/>
      <x:c r="K37" s="123"/>
      <x:c r="L37" s="123"/>
      <x:c r="M37" s="123"/>
      <x:c r="N37" s="123"/>
      <x:c r="O37" s="123"/>
    </x:row>
    <x:row r="38" ht="15" hidden="0" customHeight="1">
      <x:c r="A38" s="123"/>
      <x:c r="B38" s="123"/>
      <x:c r="C38" s="123"/>
      <x:c r="D38" s="123"/>
      <x:c r="E38" s="123"/>
      <x:c r="F38" s="123"/>
      <x:c r="G38" s="123"/>
      <x:c r="H38" s="123"/>
      <x:c r="I38" s="123"/>
      <x:c r="J38" s="123"/>
      <x:c r="K38" s="123"/>
      <x:c r="L38" s="123"/>
      <x:c r="M38" s="123"/>
      <x:c r="N38" s="123"/>
      <x:c r="O38" s="123"/>
    </x:row>
    <x:row r="39" ht="15" hidden="0" customHeight="1">
      <x:c r="A39" s="123"/>
      <x:c r="B39" s="123"/>
      <x:c r="C39" s="123"/>
      <x:c r="D39" s="123"/>
      <x:c r="E39" s="123"/>
      <x:c r="F39" s="123"/>
      <x:c r="G39" s="123"/>
      <x:c r="H39" s="123"/>
      <x:c r="I39" s="123"/>
      <x:c r="J39" s="123"/>
      <x:c r="K39" s="123"/>
      <x:c r="L39" s="123"/>
      <x:c r="M39" s="123"/>
      <x:c r="N39" s="123"/>
      <x:c r="O39" s="123"/>
    </x:row>
    <x:row r="40" ht="15" hidden="0" customHeight="1">
      <x:c r="A40" s="123" t="str">
        <x:v>Mix 2030</x:v>
      </x:c>
      <x:c r="B40" s="123" t="str">
        <x:v>EUR M</x:v>
      </x:c>
      <x:c r="C40" s="123"/>
      <x:c r="D40" s="123"/>
      <x:c r="E40" s="123"/>
      <x:c r="F40" s="123"/>
      <x:c r="G40" s="123"/>
      <x:c r="H40" s="123"/>
      <x:c r="I40" s="123"/>
      <x:c r="J40" s="123"/>
      <x:c r="K40" s="123"/>
      <x:c r="L40" s="123"/>
      <x:c r="M40" s="123"/>
      <x:c r="N40" s="123"/>
      <x:c r="O40" s="123"/>
    </x:row>
    <x:row r="41" ht="15" hidden="0" customHeight="1">
      <x:c r="A41" s="123" t="str">
        <x:v>Digitalizacion partners</x:v>
      </x:c>
      <x:c r="B41" s="332" t="n">
        <x:f>SUM('06_Revenue'!F5:F6)</x:f>
        <x:v>1.154</x:v>
      </x:c>
      <x:c r="C41" s="123"/>
      <x:c r="D41" s="123"/>
      <x:c r="E41" s="123"/>
      <x:c r="F41" s="123"/>
      <x:c r="G41" s="123"/>
      <x:c r="H41" s="123"/>
      <x:c r="I41" s="123"/>
      <x:c r="J41" s="123"/>
      <x:c r="K41" s="123"/>
      <x:c r="L41" s="123"/>
      <x:c r="M41" s="123"/>
      <x:c r="N41" s="123"/>
      <x:c r="O41" s="123"/>
    </x:row>
    <x:row r="42" ht="15" hidden="0" customHeight="1">
      <x:c r="A42" s="123" t="str">
        <x:v>Fees por m2</x:v>
      </x:c>
      <x:c r="B42" s="332" t="n">
        <x:f>SUM('06_Revenue'!F7:F8)</x:f>
        <x:v>14.3325</x:v>
      </x:c>
      <x:c r="C42" s="123"/>
      <x:c r="D42" s="123"/>
      <x:c r="E42" s="123"/>
      <x:c r="F42" s="123"/>
      <x:c r="G42" s="123"/>
      <x:c r="H42" s="123"/>
      <x:c r="I42" s="123"/>
      <x:c r="J42" s="123"/>
      <x:c r="K42" s="123"/>
      <x:c r="L42" s="123"/>
      <x:c r="M42" s="123"/>
      <x:c r="N42" s="123"/>
      <x:c r="O42" s="123"/>
    </x:row>
    <x:row r="43" ht="15" hidden="0" customHeight="1">
      <x:c r="A43" s="123" t="str">
        <x:v>Resto Asset OS</x:v>
      </x:c>
      <x:c r="B43" s="332" t="n">
        <x:f>'06_Revenue'!F16-SUM('06_Revenue'!F5:F8)</x:f>
        <x:v>106.72800419999999</x:v>
      </x:c>
      <x:c r="C43" s="123"/>
      <x:c r="D43" s="123"/>
      <x:c r="E43" s="123"/>
      <x:c r="F43" s="123"/>
      <x:c r="G43" s="123"/>
      <x:c r="H43" s="123"/>
      <x:c r="I43" s="123"/>
      <x:c r="J43" s="123"/>
      <x:c r="K43" s="123"/>
      <x:c r="L43" s="123"/>
      <x:c r="M43" s="123"/>
      <x:c r="N43" s="123"/>
      <x:c r="O43" s="123"/>
    </x:row>
    <x:row r="44" ht="15" hidden="0" customHeight="1">
      <x:c r="A44" s="123" t="str">
        <x:v>iPath</x:v>
      </x:c>
      <x:c r="B44" s="332" t="n">
        <x:f>'06_Revenue'!F18</x:f>
        <x:v>33.91</x:v>
      </x:c>
      <x:c r="C44" s="123"/>
      <x:c r="D44" s="123"/>
      <x:c r="E44" s="123"/>
      <x:c r="F44" s="123"/>
      <x:c r="G44" s="123"/>
      <x:c r="H44" s="123"/>
      <x:c r="I44" s="123"/>
      <x:c r="J44" s="123"/>
      <x:c r="K44" s="123"/>
      <x:c r="L44" s="123"/>
      <x:c r="M44" s="123"/>
      <x:c r="N44" s="123"/>
      <x:c r="O44" s="123"/>
    </x:row>
    <x:row r="45" ht="15" hidden="0" customHeight="1">
      <x:c r="A45" s="123" t="str">
        <x:v>Marketplace</x:v>
      </x:c>
      <x:c r="B45" s="332" t="n">
        <x:f>'06_Revenue'!F22</x:f>
        <x:v>8.77144</x:v>
      </x:c>
      <x:c r="C45" s="123"/>
      <x:c r="D45" s="123"/>
      <x:c r="E45" s="123"/>
      <x:c r="F45" s="123"/>
      <x:c r="G45" s="123"/>
      <x:c r="H45" s="123"/>
      <x:c r="I45" s="123"/>
      <x:c r="J45" s="123"/>
      <x:c r="K45" s="123"/>
      <x:c r="L45" s="123"/>
      <x:c r="M45" s="123"/>
      <x:c r="N45" s="123"/>
      <x:c r="O45" s="123"/>
    </x:row>
    <x:row r="46" ht="15" hidden="0" customHeight="1">
      <x:c r="A46" s="123" t="str">
        <x:v>Moolde / Intl / Financial</x:v>
      </x:c>
      <x:c r="B46" s="332" t="n">
        <x:f>'06_Revenue'!F19+'06_Revenue'!F20+'06_Revenue'!F21</x:f>
        <x:v>24</x:v>
      </x:c>
      <x:c r="C46" s="123"/>
      <x:c r="D46" s="123"/>
      <x:c r="E46" s="123"/>
      <x:c r="F46" s="123"/>
      <x:c r="G46" s="123"/>
      <x:c r="H46" s="123"/>
      <x:c r="I46" s="123"/>
      <x:c r="J46" s="123"/>
      <x:c r="K46" s="123"/>
      <x:c r="L46" s="123"/>
      <x:c r="M46" s="123"/>
      <x:c r="N46" s="123"/>
      <x:c r="O46" s="123"/>
    </x:row>
    <x:row r="47" ht="15" hidden="0" customHeight="1">
      <x:c r="A47" s="123"/>
      <x:c r="B47" s="332"/>
      <x:c r="C47" s="123"/>
      <x:c r="D47" s="123"/>
      <x:c r="E47" s="123"/>
      <x:c r="F47" s="123"/>
      <x:c r="G47" s="123"/>
      <x:c r="H47" s="123"/>
      <x:c r="I47" s="123"/>
      <x:c r="J47" s="123"/>
      <x:c r="K47" s="123"/>
      <x:c r="L47" s="123"/>
      <x:c r="M47" s="123"/>
      <x:c r="N47" s="123"/>
      <x:c r="O47" s="123"/>
    </x:row>
    <x:row r="48" ht="15" hidden="0" customHeight="1">
      <x:c r="A48" s="123"/>
      <x:c r="B48" s="332"/>
      <x:c r="C48" s="123"/>
      <x:c r="D48" s="123"/>
      <x:c r="E48" s="123"/>
      <x:c r="F48" s="123"/>
      <x:c r="G48" s="123"/>
      <x:c r="H48" s="123"/>
      <x:c r="I48" s="123"/>
      <x:c r="J48" s="123"/>
      <x:c r="K48" s="123"/>
      <x:c r="L48" s="123"/>
      <x:c r="M48" s="123"/>
      <x:c r="N48" s="123"/>
      <x:c r="O48" s="123"/>
    </x:row>
    <x:row r="49" ht="15" hidden="0" customHeight="1">
      <x:c r="A49" s="123" t="str">
        <x:v>Scenario</x:v>
      </x:c>
      <x:c r="B49" s="332" t="str">
        <x:v>EV midpoint</x:v>
      </x:c>
      <x:c r="C49" s="123"/>
      <x:c r="D49" s="123"/>
      <x:c r="E49" s="123"/>
      <x:c r="F49" s="123"/>
      <x:c r="G49" s="123"/>
      <x:c r="H49" s="123"/>
      <x:c r="I49" s="123"/>
      <x:c r="J49" s="123"/>
      <x:c r="K49" s="123"/>
      <x:c r="L49" s="123"/>
      <x:c r="M49" s="123"/>
      <x:c r="N49" s="123"/>
      <x:c r="O49" s="123"/>
    </x:row>
    <x:row r="50" ht="15" hidden="0" customHeight="1">
      <x:c r="A50" s="123" t="str">
        <x:v>Guarded</x:v>
      </x:c>
      <x:c r="B50" s="332" t="n">
        <x:f>'11_Scenarios'!B20</x:f>
        <x:v>773.1671833415097</x:v>
      </x:c>
      <x:c r="C50" s="123"/>
      <x:c r="D50" s="123"/>
      <x:c r="E50" s="123"/>
      <x:c r="F50" s="123"/>
      <x:c r="G50" s="123"/>
      <x:c r="H50" s="123"/>
      <x:c r="I50" s="123"/>
      <x:c r="J50" s="123"/>
      <x:c r="K50" s="123"/>
      <x:c r="L50" s="123"/>
      <x:c r="M50" s="123"/>
      <x:c r="N50" s="123"/>
      <x:c r="O50" s="123"/>
    </x:row>
    <x:row r="51" ht="15" hidden="0" customHeight="1">
      <x:c r="A51" s="123" t="str">
        <x:v>Base</x:v>
      </x:c>
      <x:c r="B51" s="332" t="n">
        <x:f>'11_Scenarios'!C20</x:f>
        <x:v>1599.7874203739998</x:v>
      </x:c>
      <x:c r="C51" s="123"/>
      <x:c r="D51" s="123"/>
      <x:c r="E51" s="123"/>
      <x:c r="F51" s="123"/>
      <x:c r="G51" s="123"/>
      <x:c r="H51" s="123"/>
      <x:c r="I51" s="123"/>
      <x:c r="J51" s="123"/>
      <x:c r="K51" s="123"/>
      <x:c r="L51" s="123"/>
      <x:c r="M51" s="123"/>
      <x:c r="N51" s="123"/>
      <x:c r="O51" s="123"/>
    </x:row>
    <x:row r="52" ht="15" hidden="0" customHeight="1">
      <x:c r="A52" s="123" t="str">
        <x:v>Breakout</x:v>
      </x:c>
      <x:c r="B52" s="332" t="n">
        <x:f>'11_Scenarios'!D20</x:f>
        <x:v>2645.8469284732</x:v>
      </x:c>
      <x:c r="C52" s="123"/>
      <x:c r="D52" s="123"/>
      <x:c r="E52" s="123"/>
      <x:c r="F52" s="123"/>
      <x:c r="G52" s="123"/>
      <x:c r="H52" s="123"/>
      <x:c r="I52" s="123"/>
      <x:c r="J52" s="123"/>
      <x:c r="K52" s="123"/>
      <x:c r="L52" s="123"/>
      <x:c r="M52" s="123"/>
      <x:c r="N52" s="123"/>
      <x:c r="O52" s="123"/>
    </x:row>
    <x:row r="53" ht="15" hidden="0" customHeight="1">
      <x:c r="A53" s="123"/>
      <x:c r="B53" s="123"/>
      <x:c r="C53" s="123"/>
      <x:c r="D53" s="123"/>
      <x:c r="E53" s="123"/>
      <x:c r="F53" s="123"/>
      <x:c r="G53" s="123"/>
      <x:c r="H53" s="123"/>
      <x:c r="I53" s="123"/>
      <x:c r="J53" s="123"/>
      <x:c r="K53" s="123"/>
      <x:c r="L53" s="123"/>
      <x:c r="M53" s="123"/>
      <x:c r="N53" s="123"/>
      <x:c r="O53" s="123"/>
    </x:row>
    <x:row r="54" ht="15" hidden="0" customHeight="1">
      <x:c r="A54" s="123"/>
      <x:c r="B54" s="123"/>
      <x:c r="C54" s="123"/>
      <x:c r="D54" s="123"/>
      <x:c r="E54" s="123"/>
      <x:c r="F54" s="123"/>
      <x:c r="G54" s="123"/>
      <x:c r="H54" s="123"/>
      <x:c r="I54" s="123"/>
      <x:c r="J54" s="123"/>
      <x:c r="K54" s="123"/>
      <x:c r="L54" s="123"/>
      <x:c r="M54" s="123"/>
      <x:c r="N54" s="123"/>
      <x:c r="O54" s="123"/>
    </x:row>
    <x:row r="55" ht="15" hidden="0" customHeight="1">
      <x:c r="A55" s="123"/>
      <x:c r="B55" s="123"/>
      <x:c r="C55" s="123"/>
      <x:c r="D55" s="123"/>
      <x:c r="E55" s="123"/>
      <x:c r="F55" s="123"/>
      <x:c r="G55" s="123"/>
      <x:c r="H55" s="123"/>
      <x:c r="I55" s="123"/>
      <x:c r="J55" s="123"/>
      <x:c r="K55" s="123"/>
      <x:c r="L55" s="123"/>
      <x:c r="M55" s="123"/>
      <x:c r="N55" s="123"/>
      <x:c r="O55" s="123"/>
    </x:row>
    <x:row r="56" ht="15" hidden="0" customHeight="1">
      <x:c r="A56" s="123"/>
      <x:c r="B56" s="123"/>
      <x:c r="C56" s="123"/>
      <x:c r="D56" s="123"/>
      <x:c r="E56" s="123"/>
      <x:c r="F56" s="123"/>
      <x:c r="G56" s="123"/>
      <x:c r="H56" s="123"/>
      <x:c r="I56" s="123"/>
      <x:c r="J56" s="123"/>
      <x:c r="K56" s="123"/>
      <x:c r="L56" s="123"/>
      <x:c r="M56" s="123"/>
      <x:c r="N56" s="123"/>
      <x:c r="O56" s="123"/>
    </x:row>
    <x:row r="57" ht="15" hidden="0" customHeight="1">
      <x:c r="A57" s="123"/>
      <x:c r="B57" s="123"/>
      <x:c r="C57" s="123"/>
      <x:c r="D57" s="123"/>
      <x:c r="E57" s="123"/>
      <x:c r="F57" s="123"/>
      <x:c r="G57" s="123"/>
      <x:c r="H57" s="123"/>
      <x:c r="I57" s="123"/>
      <x:c r="J57" s="123"/>
      <x:c r="K57" s="123"/>
      <x:c r="L57" s="123"/>
      <x:c r="M57" s="123"/>
      <x:c r="N57" s="123"/>
      <x:c r="O57" s="123"/>
    </x:row>
    <x:row r="58" ht="15" hidden="0" customHeight="1">
      <x:c r="A58" s="123"/>
      <x:c r="B58" s="123"/>
      <x:c r="C58" s="123"/>
      <x:c r="D58" s="123"/>
      <x:c r="E58" s="123"/>
      <x:c r="F58" s="123"/>
      <x:c r="G58" s="123"/>
      <x:c r="H58" s="123"/>
      <x:c r="I58" s="123"/>
      <x:c r="J58" s="123"/>
      <x:c r="K58" s="123"/>
      <x:c r="L58" s="123"/>
      <x:c r="M58" s="123"/>
      <x:c r="N58" s="123"/>
      <x:c r="O58" s="123"/>
    </x:row>
    <x:row r="59" ht="15" hidden="0" customHeight="1">
      <x:c r="A59" s="123"/>
      <x:c r="B59" s="123"/>
      <x:c r="C59" s="123"/>
      <x:c r="D59" s="123"/>
      <x:c r="E59" s="123"/>
      <x:c r="F59" s="123"/>
      <x:c r="G59" s="123"/>
      <x:c r="H59" s="123"/>
      <x:c r="I59" s="123"/>
      <x:c r="J59" s="123"/>
      <x:c r="K59" s="123"/>
      <x:c r="L59" s="123"/>
      <x:c r="M59" s="123"/>
      <x:c r="N59" s="123"/>
      <x:c r="O59" s="123"/>
    </x:row>
    <x:row r="60" ht="15" hidden="0" customHeight="1">
      <x:c r="A60" s="123"/>
      <x:c r="B60" s="123"/>
      <x:c r="C60" s="123"/>
      <x:c r="D60" s="123"/>
      <x:c r="E60" s="123"/>
      <x:c r="F60" s="123"/>
      <x:c r="G60" s="123"/>
      <x:c r="H60" s="123"/>
      <x:c r="I60" s="123"/>
      <x:c r="J60" s="123"/>
      <x:c r="K60" s="123"/>
      <x:c r="L60" s="123"/>
      <x:c r="M60" s="123"/>
      <x:c r="N60" s="123"/>
      <x:c r="O60" s="123"/>
    </x:row>
    <x:row r="61" ht="15" hidden="0" customHeight="1">
      <x:c r="A61" s="123"/>
      <x:c r="B61" s="123"/>
      <x:c r="C61" s="123"/>
      <x:c r="D61" s="123"/>
      <x:c r="E61" s="123"/>
      <x:c r="F61" s="123"/>
      <x:c r="G61" s="123"/>
      <x:c r="H61" s="123"/>
      <x:c r="I61" s="123"/>
      <x:c r="J61" s="123"/>
      <x:c r="K61" s="123"/>
      <x:c r="L61" s="123"/>
      <x:c r="M61" s="123"/>
      <x:c r="N61" s="123"/>
      <x:c r="O61" s="123"/>
    </x:row>
    <x:row r="62" ht="15" hidden="0" customHeight="1">
      <x:c r="A62" s="123"/>
      <x:c r="B62" s="123"/>
      <x:c r="C62" s="123"/>
      <x:c r="D62" s="123"/>
      <x:c r="E62" s="123"/>
      <x:c r="F62" s="123"/>
      <x:c r="G62" s="123"/>
      <x:c r="H62" s="123"/>
      <x:c r="I62" s="123"/>
      <x:c r="J62" s="123"/>
      <x:c r="K62" s="123"/>
      <x:c r="L62" s="123"/>
      <x:c r="M62" s="123"/>
      <x:c r="N62" s="123"/>
      <x:c r="O62" s="123"/>
    </x:row>
    <x:row r="63" ht="15" hidden="0" customHeight="1">
      <x:c r="A63" s="123"/>
      <x:c r="B63" s="123"/>
      <x:c r="C63" s="123"/>
      <x:c r="D63" s="123"/>
      <x:c r="E63" s="123"/>
      <x:c r="F63" s="123"/>
      <x:c r="G63" s="123"/>
      <x:c r="H63" s="123"/>
      <x:c r="I63" s="123"/>
      <x:c r="J63" s="123"/>
      <x:c r="K63" s="123"/>
      <x:c r="L63" s="123"/>
      <x:c r="M63" s="123"/>
      <x:c r="N63" s="123"/>
      <x:c r="O63" s="123"/>
    </x:row>
    <x:row r="64" ht="15" hidden="0" customHeight="1">
      <x:c r="A64" s="123"/>
      <x:c r="B64" s="123"/>
      <x:c r="C64" s="123"/>
      <x:c r="D64" s="123"/>
      <x:c r="E64" s="123"/>
      <x:c r="F64" s="123"/>
      <x:c r="G64" s="123"/>
      <x:c r="H64" s="123"/>
      <x:c r="I64" s="123"/>
      <x:c r="J64" s="123"/>
      <x:c r="K64" s="123"/>
      <x:c r="L64" s="123"/>
      <x:c r="M64" s="123"/>
      <x:c r="N64" s="123"/>
      <x:c r="O64" s="123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b75a00eb0ff54169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6299991607666" hidden="0" customWidth="1"/>
    <x:col min="2" max="2" width="7.75" hidden="0" customWidth="1"/>
    <x:col min="3" max="3" width="7.75" hidden="0" customWidth="1"/>
    <x:col min="4" max="4" width="4.630000114440918" hidden="0" customWidth="1"/>
    <x:col min="5" max="5" width="7.880000114440918" hidden="0" customWidth="1"/>
    <x:col min="6" max="6" width="5.5" hidden="0" customWidth="1"/>
    <x:col min="7" max="7" width="30.3799991607666" hidden="0" customWidth="1"/>
    <x:col min="8" max="8" width="3.75" hidden="0" customWidth="1"/>
    <x:col min="9" max="9" width="15" hidden="0" customWidth="1"/>
  </x:cols>
  <x:sheetData>
    <x:row r="1" ht="15" hidden="0" customHeight="1">
      <x:c r="A1" s="121" t="str">
        <x:v>14 Checks</x:v>
      </x:c>
      <x:c r="B1" s="121"/>
      <x:c r="C1" s="121"/>
      <x:c r="D1" s="121"/>
      <x:c r="E1" s="121"/>
      <x:c r="F1" s="121"/>
      <x:c r="G1" s="121"/>
      <x:c r="H1" s="121"/>
      <x:c r="I1" s="123"/>
    </x:row>
    <x:row r="2" ht="15" hidden="0" customHeight="1">
      <x:c r="A2" s="122" t="str">
        <x:v>Controles de reconciliacion y auditabilidad.</x:v>
      </x:c>
      <x:c r="B2" s="122"/>
      <x:c r="C2" s="122"/>
      <x:c r="D2" s="122"/>
      <x:c r="E2" s="122"/>
      <x:c r="F2" s="122"/>
      <x:c r="G2" s="122"/>
      <x:c r="H2" s="122"/>
      <x:c r="I2" s="123"/>
    </x:row>
    <x:row r="3" ht="15" hidden="0" customHeight="1">
      <x:c r="A3" s="123"/>
      <x:c r="B3" s="123"/>
      <x:c r="C3" s="123"/>
      <x:c r="D3" s="123"/>
      <x:c r="E3" s="123"/>
      <x:c r="F3" s="123"/>
      <x:c r="G3" s="123"/>
      <x:c r="H3" s="123"/>
      <x:c r="I3" s="123"/>
    </x:row>
    <x:row r="4" ht="15" hidden="0" customHeight="1">
      <x:c r="A4" s="124" t="str">
        <x:v>Check</x:v>
      </x:c>
      <x:c r="B4" s="124" t="str">
        <x:v>Actual</x:v>
      </x:c>
      <x:c r="C4" s="124" t="str">
        <x:v>Expected</x:v>
      </x:c>
      <x:c r="D4" s="124" t="str">
        <x:v>Delta</x:v>
      </x:c>
      <x:c r="E4" s="124" t="str">
        <x:v>Tolerance</x:v>
      </x:c>
      <x:c r="F4" s="124" t="str">
        <x:v>Status</x:v>
      </x:c>
      <x:c r="G4" s="124" t="str">
        <x:v>Fix hint</x:v>
      </x:c>
      <x:c r="H4" s="124" t="str">
        <x:v>Flag</x:v>
      </x:c>
      <x:c r="I4" s="123"/>
    </x:row>
    <x:row r="5" ht="15" hidden="0" customHeight="1">
      <x:c r="A5" s="123" t="str">
        <x:v>Uso fondos = 300K</x:v>
      </x:c>
      <x:c r="B5" s="332" t="n">
        <x:f>'03_Use_Funds'!B12</x:f>
        <x:v>300000</x:v>
      </x:c>
      <x:c r="C5" s="332" t="n">
        <x:f>300000</x:f>
        <x:v>300000</x:v>
      </x:c>
      <x:c r="D5" s="332" t="n">
        <x:f>B5-C5</x:f>
        <x:v>0</x:v>
      </x:c>
      <x:c r="E5" s="332" t="n">
        <x:v>1</x:v>
      </x:c>
      <x:c r="F5" s="123" t="str">
        <x:f>IF(ABS(D5)&lt;=E5,"OK","FAIL")</x:f>
        <x:v>OK</x:v>
      </x:c>
      <x:c r="G5" s="123" t="str">
        <x:v>Confirmar importes use funds</x:v>
      </x:c>
      <x:c r="H5" s="123" t="n">
        <x:f>IF(ABS(D5)&lt;=E5,1,0)</x:f>
        <x:v>1</x:v>
      </x:c>
      <x:c r="I5" s="123"/>
    </x:row>
    <x:row r="6" ht="15" hidden="0" customHeight="1">
      <x:c r="A6" s="123" t="str">
        <x:v>KIWA aparece una sola vez</x:v>
      </x:c>
      <x:c r="B6" s="332" t="n">
        <x:f>IF('02_Plan_300K'!A5="KIWA/RMOOB - proyecto unico",1,0)+IF('02_Plan_300K'!A6="KIWA/RMOOB - proyecto unico",1,0)+IF('02_Plan_300K'!A7="KIWA/RMOOB - proyecto unico",1,0)+IF('02_Plan_300K'!A8="KIWA/RMOOB - proyecto unico",1,0)+IF('02_Plan_300K'!A9="KIWA/RMOOB - proyecto unico",1,0)+IF('02_Plan_300K'!A10="KIWA/RMOOB - proyecto unico",1,0)+IF('02_Plan_300K'!A11="KIWA/RMOOB - proyecto unico",1,0)+IF('02_Plan_300K'!A12="KIWA/RMOOB - proyecto unico",1,0)+IF('02_Plan_300K'!A13="KIWA/RMOOB - proyecto unico",1,0)+IF('02_Plan_300K'!A14="KIWA/RMOOB - proyecto unico",1,0)</x:f>
        <x:v>1</x:v>
      </x:c>
      <x:c r="C6" s="332" t="n">
        <x:f>1</x:f>
        <x:v>1</x:v>
      </x:c>
      <x:c r="D6" s="332" t="n">
        <x:f>B6-C6</x:f>
        <x:v>0</x:v>
      </x:c>
      <x:c r="E6" s="332" t="n">
        <x:v>0</x:v>
      </x:c>
      <x:c r="F6" s="123" t="str">
        <x:f>IF(ABS(D6)&lt;=E6,"OK","FAIL")</x:f>
        <x:v>OK</x:v>
      </x:c>
      <x:c r="G6" s="123" t="str">
        <x:v>Eliminar cualquier fila KIWA duplicada</x:v>
      </x:c>
      <x:c r="H6" s="123" t="n">
        <x:f>IF(ABS(D6)&lt;=E6,1,0)</x:f>
        <x:v>1</x:v>
      </x:c>
      <x:c r="I6" s="123"/>
    </x:row>
    <x:row r="7" ht="15" hidden="0" customHeight="1">
      <x:c r="A7" s="123" t="str">
        <x:v>KIWA proyecto unico = 400K</x:v>
      </x:c>
      <x:c r="B7" s="332" t="n">
        <x:f>'02_Plan_300K'!Y11</x:f>
        <x:v>400000</x:v>
      </x:c>
      <x:c r="C7" s="332" t="n">
        <x:f>400000</x:f>
        <x:v>400000</x:v>
      </x:c>
      <x:c r="D7" s="332" t="n">
        <x:f>B7-C7</x:f>
        <x:v>0</x:v>
      </x:c>
      <x:c r="E7" s="332" t="n">
        <x:v>1</x:v>
      </x:c>
      <x:c r="F7" s="123" t="str">
        <x:f>IF(ABS(D7)&lt;=E7,"OK","FAIL")</x:f>
        <x:v>OK</x:v>
      </x:c>
      <x:c r="G7" s="123" t="str">
        <x:v>Revisar calendario Q4 2027</x:v>
      </x:c>
      <x:c r="H7" s="123" t="n">
        <x:f>IF(ABS(D7)&lt;=E7,1,0)</x:f>
        <x:v>1</x:v>
      </x:c>
      <x:c r="I7" s="123"/>
    </x:row>
    <x:row r="8" ht="15" hidden="0" customHeight="1">
      <x:c r="A8" s="123" t="str">
        <x:v>Fee fabricante = 2,50 EUR/m2</x:v>
      </x:c>
      <x:c r="B8" s="332" t="n">
        <x:f>'02B_Partner_Economics'!B21</x:f>
        <x:v>2.5</x:v>
      </x:c>
      <x:c r="C8" s="332" t="n">
        <x:f>2.5</x:f>
        <x:v>2.5</x:v>
      </x:c>
      <x:c r="D8" s="332" t="n">
        <x:f>B8-C8</x:f>
        <x:v>0</x:v>
      </x:c>
      <x:c r="E8" s="332" t="n">
        <x:v>0.001</x:v>
      </x:c>
      <x:c r="F8" s="123" t="str">
        <x:f>IF(ABS(D8)&lt;=E8,"OK","FAIL")</x:f>
        <x:v>OK</x:v>
      </x:c>
      <x:c r="G8" s="123" t="str">
        <x:v>Revisar assumption fabricante</x:v>
      </x:c>
      <x:c r="H8" s="123" t="n">
        <x:f>IF(ABS(D8)&lt;=E8,1,0)</x:f>
        <x:v>1</x:v>
      </x:c>
      <x:c r="I8" s="123"/>
    </x:row>
    <x:row r="9" ht="15" hidden="0" customHeight="1">
      <x:c r="A9" s="123" t="str">
        <x:v>Fee montaje = 2,50 EUR/m2</x:v>
      </x:c>
      <x:c r="B9" s="332" t="n">
        <x:f>'02B_Partner_Economics'!B22</x:f>
        <x:v>2.5</x:v>
      </x:c>
      <x:c r="C9" s="332" t="n">
        <x:f>2.5</x:f>
        <x:v>2.5</x:v>
      </x:c>
      <x:c r="D9" s="332" t="n">
        <x:f>B9-C9</x:f>
        <x:v>0</x:v>
      </x:c>
      <x:c r="E9" s="332" t="n">
        <x:v>0.001</x:v>
      </x:c>
      <x:c r="F9" s="123" t="str">
        <x:f>IF(ABS(D9)&lt;=E9,"OK","FAIL")</x:f>
        <x:v>OK</x:v>
      </x:c>
      <x:c r="G9" s="123" t="str">
        <x:v>Revisar assumption montaje</x:v>
      </x:c>
      <x:c r="H9" s="123" t="n">
        <x:f>IF(ABS(D9)&lt;=E9,1,0)</x:f>
        <x:v>1</x:v>
      </x:c>
      <x:c r="I9" s="123"/>
    </x:row>
    <x:row r="10" ht="15" hidden="0" customHeight="1">
      <x:c r="A10" s="123" t="str">
        <x:v>Fee combinado = 5,00 EUR/m2</x:v>
      </x:c>
      <x:c r="B10" s="332" t="n">
        <x:f>'02B_Partner_Economics'!B23</x:f>
        <x:v>5</x:v>
      </x:c>
      <x:c r="C10" s="332" t="n">
        <x:f>5</x:f>
        <x:v>5</x:v>
      </x:c>
      <x:c r="D10" s="332" t="n">
        <x:f>B10-C10</x:f>
        <x:v>0</x:v>
      </x:c>
      <x:c r="E10" s="332" t="n">
        <x:v>0.001</x:v>
      </x:c>
      <x:c r="F10" s="123" t="str">
        <x:f>IF(ABS(D10)&lt;=E10,"OK","FAIL")</x:f>
        <x:v>OK</x:v>
      </x:c>
      <x:c r="G10" s="123" t="str">
        <x:v>Revisar suma de fees</x:v>
      </x:c>
      <x:c r="H10" s="123" t="n">
        <x:f>IF(ABS(D10)&lt;=E10,1,0)</x:f>
        <x:v>1</x:v>
      </x:c>
      <x:c r="I10" s="123"/>
    </x:row>
    <x:row r="11" ht="15" hidden="0" customHeight="1">
      <x:c r="A11" s="123" t="str">
        <x:v>Fees 52k m2 plan 2027 = 260K</x:v>
      </x:c>
      <x:c r="B11" s="332" t="n">
        <x:f>'02_Plan_300K'!Y9+'02_Plan_300K'!Y10</x:f>
        <x:v>260000.00000000006</x:v>
      </x:c>
      <x:c r="C11" s="332" t="n">
        <x:f>'02B_Partner_Economics'!B20*'02B_Partner_Economics'!B23</x:f>
        <x:v>260000</x:v>
      </x:c>
      <x:c r="D11" s="332" t="n">
        <x:f>B11-C11</x:f>
        <x:v>5.820766091346741e-11</x:v>
      </x:c>
      <x:c r="E11" s="332" t="n">
        <x:v>1</x:v>
      </x:c>
      <x:c r="F11" s="123" t="str">
        <x:f>IF(ABS(D11)&lt;=E11,"OK","FAIL")</x:f>
        <x:v>OK</x:v>
      </x:c>
      <x:c r="G11" s="123" t="str">
        <x:v>Revisar m2 elegibles y fees</x:v>
      </x:c>
      <x:c r="H11" s="123" t="n">
        <x:f>IF(ABS(D11)&lt;=E11,1,0)</x:f>
        <x:v>1</x:v>
      </x:c>
      <x:c r="I11" s="123"/>
    </x:row>
    <x:row r="12" ht="15" hidden="0" customHeight="1">
      <x:c r="A12" s="123" t="str">
        <x:v>Bridge V7-V8 reconcilia revenue 2027</x:v>
      </x:c>
      <x:c r="B12" s="332" t="n">
        <x:f>'04B_Bridge_300K_2030'!B19</x:f>
        <x:v>0</x:v>
      </x:c>
      <x:c r="C12" s="332" t="n">
        <x:f>0</x:f>
        <x:v>0</x:v>
      </x:c>
      <x:c r="D12" s="332" t="n">
        <x:f>B12-C12</x:f>
        <x:v>0</x:v>
      </x:c>
      <x:c r="E12" s="332" t="n">
        <x:v>1</x:v>
      </x:c>
      <x:c r="F12" s="123" t="str">
        <x:f>IF(ABS(D12)&lt;=E12,"OK","FAIL")</x:f>
        <x:v>OK</x:v>
      </x:c>
      <x:c r="G12" s="123" t="str">
        <x:v>Revisar bridge de cambios</x:v>
      </x:c>
      <x:c r="H12" s="123" t="n">
        <x:f>IF(ABS(D12)&lt;=E12,1,0)</x:f>
        <x:v>1</x:v>
      </x:c>
      <x:c r="I12" s="123"/>
    </x:row>
    <x:row r="13" ht="15" hidden="0" customHeight="1">
      <x:c r="A13" s="123" t="str">
        <x:v>Partners activos 2030 = objetivo</x:v>
      </x:c>
      <x:c r="B13" s="332" t="n">
        <x:f>'02B_Partner_Economics'!F44</x:f>
        <x:v>0</x:v>
      </x:c>
      <x:c r="C13" s="332" t="n">
        <x:f>0</x:f>
        <x:v>0</x:v>
      </x:c>
      <x:c r="D13" s="332" t="n">
        <x:f>B13-C13</x:f>
        <x:v>0</x:v>
      </x:c>
      <x:c r="E13" s="332" t="n">
        <x:v>0</x:v>
      </x:c>
      <x:c r="F13" s="123" t="str">
        <x:f>IF(ABS(D13)&lt;=E13,"OK","FAIL")</x:f>
        <x:v>OK</x:v>
      </x:c>
      <x:c r="G13" s="123" t="str">
        <x:v>Revisar mix de captacion</x:v>
      </x:c>
      <x:c r="H13" s="123" t="n">
        <x:f>IF(ABS(D13)&lt;=E13,1,0)</x:f>
        <x:v>1</x:v>
      </x:c>
      <x:c r="I13" s="123"/>
    </x:row>
    <x:row r="14" ht="15" hidden="0" customHeight="1">
      <x:c r="A14" s="123" t="str">
        <x:v>Revenue 2030 total = suma lineas</x:v>
      </x:c>
      <x:c r="B14" s="332" t="n">
        <x:f>'06_Revenue'!F23</x:f>
        <x:v>188.89594419999997</x:v>
      </x:c>
      <x:c r="C14" s="332" t="n">
        <x:f>'06_Revenue'!F16+SUM('06_Revenue'!F18:F22)</x:f>
        <x:v>188.89594419999997</x:v>
      </x:c>
      <x:c r="D14" s="332" t="n">
        <x:f>B14-C14</x:f>
        <x:v>0</x:v>
      </x:c>
      <x:c r="E14" s="332" t="n">
        <x:v>0.001</x:v>
      </x:c>
      <x:c r="F14" s="123" t="str">
        <x:f>IF(ABS(D14)&lt;=E14,"OK","FAIL")</x:f>
        <x:v>OK</x:v>
      </x:c>
      <x:c r="G14" s="123" t="str">
        <x:v>Revisar revenue por linea</x:v>
      </x:c>
      <x:c r="H14" s="123" t="n">
        <x:f>IF(ABS(D14)&lt;=E14,1,0)</x:f>
        <x:v>1</x:v>
      </x:c>
      <x:c r="I14" s="123"/>
    </x:row>
    <x:row r="15" ht="15" hidden="0" customHeight="1">
      <x:c r="A15" s="123" t="str">
        <x:v>Contribution = suma componentes</x:v>
      </x:c>
      <x:c r="B15" s="332" t="n">
        <x:f>'07_Contribution'!F16</x:f>
        <x:v>144.509601844</x:v>
      </x:c>
      <x:c r="C15" s="332" t="n">
        <x:f>SUM('07_Contribution'!F6:F15)</x:f>
        <x:v>144.509601844</x:v>
      </x:c>
      <x:c r="D15" s="332" t="n">
        <x:f>B15-C15</x:f>
        <x:v>0</x:v>
      </x:c>
      <x:c r="E15" s="332" t="n">
        <x:v>0.001</x:v>
      </x:c>
      <x:c r="F15" s="123" t="str">
        <x:f>IF(ABS(D15)&lt;=E15,"OK","FAIL")</x:f>
        <x:v>OK</x:v>
      </x:c>
      <x:c r="G15" s="123" t="str">
        <x:v>Revisar margen por linea</x:v>
      </x:c>
      <x:c r="H15" s="123" t="n">
        <x:f>IF(ABS(D15)&lt;=E15,1,0)</x:f>
        <x:v>1</x:v>
      </x:c>
      <x:c r="I15" s="123"/>
    </x:row>
    <x:row r="16" ht="15" hidden="0" customHeight="1">
      <x:c r="A16" s="123" t="str">
        <x:v>EBITDA = Contribution - OPEX</x:v>
      </x:c>
      <x:c r="B16" s="332" t="n">
        <x:f>'07_Contribution'!F19</x:f>
        <x:v>110.429601844</x:v>
      </x:c>
      <x:c r="C16" s="332" t="n">
        <x:f>'07_Contribution'!F16-'07_Contribution'!F18</x:f>
        <x:v>110.429601844</x:v>
      </x:c>
      <x:c r="D16" s="332" t="n">
        <x:f>B16-C16</x:f>
        <x:v>0</x:v>
      </x:c>
      <x:c r="E16" s="332" t="n">
        <x:v>0.001</x:v>
      </x:c>
      <x:c r="F16" s="123" t="str">
        <x:f>IF(ABS(D16)&lt;=E16,"OK","FAIL")</x:f>
        <x:v>OK</x:v>
      </x:c>
      <x:c r="G16" s="123" t="str">
        <x:v>Revisar OPEX total</x:v>
      </x:c>
      <x:c r="H16" s="123" t="n">
        <x:f>IF(ABS(D16)&lt;=E16,1,0)</x:f>
        <x:v>1</x:v>
      </x:c>
      <x:c r="I16" s="123"/>
    </x:row>
    <x:row r="17" ht="15" hidden="0" customHeight="1">
      <x:c r="A17" s="123" t="str">
        <x:v>Cash final = cash roll-forward</x:v>
      </x:c>
      <x:c r="B17" s="332" t="n">
        <x:f>'09_Cash_Capex_WC'!F14</x:f>
        <x:v>93.00778437160001</x:v>
      </x:c>
      <x:c r="C17" s="332" t="n">
        <x:f>SUM('09_Cash_Capex_WC'!B13:F13)</x:f>
        <x:v>93.00778437160001</x:v>
      </x:c>
      <x:c r="D17" s="332" t="n">
        <x:f>B17-C17</x:f>
        <x:v>0</x:v>
      </x:c>
      <x:c r="E17" s="332" t="n">
        <x:v>0.001</x:v>
      </x:c>
      <x:c r="F17" s="123" t="str">
        <x:f>IF(ABS(D17)&lt;=E17,"OK","FAIL")</x:f>
        <x:v>OK</x:v>
      </x:c>
      <x:c r="G17" s="123" t="str">
        <x:v>Revisar flujo anual</x:v>
      </x:c>
      <x:c r="H17" s="123" t="n">
        <x:f>IF(ABS(D17)&lt;=E17,1,0)</x:f>
        <x:v>1</x:v>
      </x:c>
      <x:c r="I17" s="123"/>
    </x:row>
    <x:row r="18" ht="15" hidden="0" customHeight="1">
      <x:c r="A18" s="123" t="str">
        <x:v>Scenario Base = modelo 2030</x:v>
      </x:c>
      <x:c r="B18" s="332" t="n">
        <x:f>'11_Scenarios'!C13</x:f>
        <x:v>188.89594419999997</x:v>
      </x:c>
      <x:c r="C18" s="332" t="n">
        <x:f>'06_Revenue'!F23</x:f>
        <x:v>188.89594419999997</x:v>
      </x:c>
      <x:c r="D18" s="332" t="n">
        <x:f>B18-C18</x:f>
        <x:v>0</x:v>
      </x:c>
      <x:c r="E18" s="332" t="n">
        <x:v>0.001</x:v>
      </x:c>
      <x:c r="F18" s="123" t="str">
        <x:f>IF(ABS(D18)&lt;=E18,"OK","FAIL")</x:f>
        <x:v>OK</x:v>
      </x:c>
      <x:c r="G18" s="123" t="str">
        <x:v>Revisar factores Base</x:v>
      </x:c>
      <x:c r="H18" s="123" t="n">
        <x:f>IF(ABS(D18)&lt;=E18,1,0)</x:f>
        <x:v>1</x:v>
      </x:c>
      <x:c r="I18" s="123"/>
    </x:row>
    <x:row r="19" ht="15" hidden="0" customHeight="1">
      <x:c r="A19" s="123" t="str">
        <x:v>Risk-adjusted EBITDA 2027 no negativo</x:v>
      </x:c>
      <x:c r="B19" s="332" t="n">
        <x:f>IF('02_Plan_300K'!F22&gt;=0,1,0)</x:f>
        <x:v>1</x:v>
      </x:c>
      <x:c r="C19" s="332" t="n">
        <x:f>1</x:f>
        <x:v>1</x:v>
      </x:c>
      <x:c r="D19" s="332" t="n">
        <x:f>B19-C19</x:f>
        <x:v>0</x:v>
      </x:c>
      <x:c r="E19" s="332" t="n">
        <x:v>0</x:v>
      </x:c>
      <x:c r="F19" s="123" t="str">
        <x:f>IF(ABS(D19)&lt;=E19,"OK","FAIL")</x:f>
        <x:v>OK</x:v>
      </x:c>
      <x:c r="G19" s="123" t="str">
        <x:v>Gating de OPEX si el pipeline no convierte</x:v>
      </x:c>
      <x:c r="H19" s="123" t="n">
        <x:f>IF(ABS(D19)&lt;=E19,1,0)</x:f>
        <x:v>1</x:v>
      </x:c>
      <x:c r="I19" s="123"/>
    </x:row>
    <x:row r="20" ht="15" hidden="0" customHeight="1">
      <x:c r="A20" s="123" t="str">
        <x:v>SOTP base &gt; 1.000M</x:v>
      </x:c>
      <x:c r="B20" s="332" t="n">
        <x:f>IF('10_Valuation'!G32&gt;=1000,1,0)</x:f>
        <x:v>1</x:v>
      </x:c>
      <x:c r="C20" s="332" t="n">
        <x:f>1</x:f>
        <x:v>1</x:v>
      </x:c>
      <x:c r="D20" s="332" t="n">
        <x:f>B20-C20</x:f>
        <x:v>0</x:v>
      </x:c>
      <x:c r="E20" s="332" t="n">
        <x:v>0</x:v>
      </x:c>
      <x:c r="F20" s="123" t="str">
        <x:f>IF(ABS(D20)&lt;=E20,"OK","FAIL")</x:f>
        <x:v>OK</x:v>
      </x:c>
      <x:c r="G20" s="123" t="str">
        <x:v>Revisar multiples y mix</x:v>
      </x:c>
      <x:c r="H20" s="123" t="n">
        <x:f>IF(ABS(D20)&lt;=E20,1,0)</x:f>
        <x:v>1</x:v>
      </x:c>
      <x:c r="I20" s="123"/>
    </x:row>
    <x:row r="21" ht="15" hidden="0" customHeight="1">
      <x:c r="A21" s="123"/>
      <x:c r="B21" s="332"/>
      <x:c r="C21" s="332"/>
      <x:c r="D21" s="332"/>
      <x:c r="E21" s="332"/>
      <x:c r="F21" s="123"/>
      <x:c r="G21" s="123"/>
      <x:c r="H21" s="123"/>
      <x:c r="I21" s="123"/>
    </x:row>
    <x:row r="22" ht="15" hidden="0" customHeight="1">
      <x:c r="A22" s="271" t="str">
        <x:v>MODEL STATUS</x:v>
      </x:c>
      <x:c r="B22" s="273" t="str"/>
      <x:c r="C22" s="273" t="str"/>
      <x:c r="D22" s="273" t="str"/>
      <x:c r="E22" s="273" t="str"/>
      <x:c r="F22" s="273" t="str">
        <x:f>IF(SUM(H5:H20)=16,"PASS","FAIL")</x:f>
        <x:v>PASS</x:v>
      </x:c>
      <x:c r="G22" s="273" t="str"/>
      <x:c r="H22" s="274" t="str"/>
      <x:c r="I22" s="123"/>
    </x:row>
    <x:row r="23" ht="15" hidden="0" customHeight="1">
      <x:c r="A23" s="123"/>
      <x:c r="B23" s="123"/>
      <x:c r="C23" s="123"/>
      <x:c r="D23" s="123"/>
      <x:c r="E23" s="123"/>
      <x:c r="F23" s="123"/>
      <x:c r="G23" s="123"/>
      <x:c r="H23" s="123"/>
      <x:c r="I23" s="123"/>
    </x:row>
    <x:row r="24" ht="15" hidden="0" customHeight="1">
      <x:c r="A24" s="123"/>
      <x:c r="B24" s="123"/>
      <x:c r="C24" s="123"/>
      <x:c r="D24" s="123"/>
      <x:c r="E24" s="123"/>
      <x:c r="F24" s="123"/>
      <x:c r="G24" s="123"/>
      <x:c r="H24" s="123"/>
      <x:c r="I24" s="123"/>
    </x:row>
    <x:row r="25" ht="15" hidden="0" customHeight="1">
      <x:c r="A25" s="123"/>
      <x:c r="B25" s="123"/>
      <x:c r="C25" s="123"/>
      <x:c r="D25" s="123"/>
      <x:c r="E25" s="123"/>
      <x:c r="F25" s="123"/>
      <x:c r="G25" s="123"/>
      <x:c r="H25" s="123"/>
      <x:c r="I25" s="123"/>
    </x:row>
    <x:row r="26" ht="15" hidden="0" customHeight="1">
      <x:c r="A26" s="123"/>
      <x:c r="B26" s="123"/>
      <x:c r="C26" s="123"/>
      <x:c r="D26" s="123"/>
      <x:c r="E26" s="123"/>
      <x:c r="F26" s="123"/>
      <x:c r="G26" s="123"/>
      <x:c r="H26" s="123"/>
      <x:c r="I26" s="123"/>
    </x:row>
    <x:row r="27" ht="15" hidden="0" customHeight="1">
      <x:c r="A27" s="123"/>
      <x:c r="B27" s="123"/>
      <x:c r="C27" s="123"/>
      <x:c r="D27" s="123"/>
      <x:c r="E27" s="123"/>
      <x:c r="F27" s="123"/>
      <x:c r="G27" s="123"/>
      <x:c r="H27" s="123"/>
      <x:c r="I27" s="123"/>
    </x:row>
    <x:row r="28" ht="15" hidden="0" customHeight="1">
      <x:c r="A28" s="123"/>
      <x:c r="B28" s="123"/>
      <x:c r="C28" s="123"/>
      <x:c r="D28" s="123"/>
      <x:c r="E28" s="123"/>
      <x:c r="F28" s="123"/>
      <x:c r="G28" s="123"/>
      <x:c r="H28" s="123"/>
      <x:c r="I28" s="123"/>
    </x:row>
  </x:sheetData>
  <x:mergeCells>
    <x:mergeCell ref="A1:H1"/>
    <x:mergeCell ref="A2:H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.75" hidden="0" customWidth="1"/>
    <x:col min="2" max="2" width="53.630001068115234" hidden="0" customWidth="1"/>
    <x:col min="3" max="3" width="44.630001068115234" hidden="0" customWidth="1"/>
    <x:col min="4" max="4" width="15" hidden="0" customWidth="1"/>
  </x:cols>
  <x:sheetData>
    <x:row r="1" ht="15" hidden="0" customHeight="1">
      <x:c r="A1" s="121" t="str">
        <x:v>15 Sources Changelog</x:v>
      </x:c>
      <x:c r="B1" s="121"/>
      <x:c r="C1" s="121"/>
      <x:c r="D1" s="121"/>
      <x:c r="E1" s="2"/>
      <x:c r="F1" s="2"/>
      <x:c r="G1" s="2"/>
      <x:c r="H1" s="2"/>
    </x:row>
    <x:row r="2" ht="15" hidden="0" customHeight="1">
      <x:c r="A2" s="122" t="str">
        <x:v>Fuentes, criterios de integracion y cambios V7 -&gt; V8 alternativa fee 2,5/2,5.</x:v>
      </x:c>
      <x:c r="B2" s="122"/>
      <x:c r="C2" s="122"/>
      <x:c r="D2" s="122"/>
      <x:c r="E2" s="4"/>
      <x:c r="F2" s="4"/>
      <x:c r="G2" s="4"/>
      <x:c r="H2" s="4"/>
    </x:row>
    <x:row r="3" ht="15" hidden="0" customHeight="1">
      <x:c r="A3" s="123"/>
      <x:c r="B3" s="123"/>
      <x:c r="C3" s="123"/>
      <x:c r="D3" s="123"/>
    </x:row>
    <x:row r="4" ht="15" hidden="0" customHeight="1">
      <x:c r="A4" s="124" t="str">
        <x:v>Fuente</x:v>
      </x:c>
      <x:c r="B4" s="124" t="str">
        <x:v>Uso en V8</x:v>
      </x:c>
      <x:c r="C4" s="124" t="str">
        <x:v>Tratamiento</x:v>
      </x:c>
      <x:c r="D4" s="123"/>
    </x:row>
    <x:row r="5" ht="15" hidden="0" customHeight="1">
      <x:c r="A5" s="123" t="str">
        <x:v>CUEVA_BP_300K_AuditReady_V5_2026_2027_Modelo.xlsx</x:v>
      </x:c>
      <x:c r="B5" s="123" t="str">
        <x:v>Plan base 300K, pipeline, use of funds, gates</x:v>
      </x:c>
      <x:c r="C5" s="123" t="str">
        <x:v>Fuente autoritativa para 2026/2027</x:v>
      </x:c>
      <x:c r="D5" s="123"/>
    </x:row>
    <x:row r="6" ht="15" hidden="0" customHeight="1">
      <x:c r="A6" s="123" t="str">
        <x:v>CUEVA_Inversion_Estrategica_2026_2027.pdf</x:v>
      </x:c>
      <x:c r="B6" s="123" t="str">
        <x:v>Narrativa inversion, plan 300K previo</x:v>
      </x:c>
      <x:c r="C6" s="123" t="str">
        <x:v>Contexto; si conflictua con V5, prevalece V5</x:v>
      </x:c>
      <x:c r="D6" s="123"/>
    </x:row>
    <x:row r="7" ht="15" hidden="0" customHeight="1">
      <x:c r="A7" s="123" t="str">
        <x:v>Informe inversor CUEVA general v4</x:v>
      </x:c>
      <x:c r="B7" s="123" t="str">
        <x:v>Valor actual 4,216M, familias tecnicas, TRL, benchmarks</x:v>
      </x:c>
      <x:c r="C7" s="123" t="str">
        <x:v>Base para valoracion actual defendida</x:v>
      </x:c>
      <x:c r="D7" s="123"/>
    </x:row>
    <x:row r="8" ht="15" hidden="0" customHeight="1">
      <x:c r="A8" s="123" t="str">
        <x:v>BP Claude V1</x:v>
      </x:c>
      <x:c r="B8" s="123" t="str">
        <x:v>Plan CUEVA Total 2030, pricing, SOTP, roadmap</x:v>
      </x:c>
      <x:c r="C8" s="123" t="str">
        <x:v>Absorbido y corregido donde habia outputs no enlazados</x:v>
      </x:c>
      <x:c r="D8" s="123"/>
    </x:row>
    <x:row r="9" ht="15" hidden="0" customHeight="1">
      <x:c r="A9" s="123" t="str">
        <x:v>Modelo_Financiero_CUEVA_BP_2030_V4_CODEX.xlsx</x:v>
      </x:c>
      <x:c r="B9" s="123" t="str">
        <x:v>Escenarios 2030 y outputs base</x:v>
      </x:c>
      <x:c r="C9" s="123" t="str">
        <x:v>Usado como validacion del plan ampliado</x:v>
      </x:c>
      <x:c r="D9" s="123"/>
    </x:row>
    <x:row r="10" ht="15" hidden="0" customHeight="1">
      <x:c r="A10" s="123" t="str">
        <x:v>CUEVA Documento Completo Unificado.docx</x:v>
      </x:c>
      <x:c r="B10" s="123" t="str">
        <x:v>Vision historica, partners, Moolde, LegoBlock, expansion</x:v>
      </x:c>
      <x:c r="C10" s="123" t="str">
        <x:v>Usado como contexto; se depura lenguaje legacy</x:v>
      </x:c>
      <x:c r="D10" s="123"/>
    </x:row>
    <x:row r="11" ht="15" hidden="0" customHeight="1">
      <x:c r="A11" s="123" t="str">
        <x:v>Cartas producto HTML Benefits/iPath/Servicios V12</x:v>
      </x:c>
      <x:c r="B11" s="123" t="str">
        <x:v>Paquetes P0-P5, Logistik Connector, Benefits OS, iPath</x:v>
      </x:c>
      <x:c r="C11" s="123" t="str">
        <x:v>Incorporado a portfolio y GTM</x:v>
      </x:c>
      <x:c r="D11" s="123"/>
    </x:row>
    <x:row r="12" ht="15" hidden="0" customHeight="1">
      <x:c r="A12" s="123"/>
      <x:c r="B12" s="123"/>
      <x:c r="C12" s="123"/>
      <x:c r="D12" s="123"/>
    </x:row>
    <x:row r="13" ht="15" hidden="0" customHeight="1">
      <x:c r="A13" s="124" t="str">
        <x:v>Changelog V7 -&gt; V8</x:v>
      </x:c>
      <x:c r="B13" s="124" t="str">
        <x:v>Cambio</x:v>
      </x:c>
      <x:c r="C13" s="124" t="str">
        <x:v>Racional</x:v>
      </x:c>
      <x:c r="D13" s="123"/>
    </x:row>
    <x:row r="14" ht="15" hidden="0" customHeight="1">
      <x:c r="A14" s="123" t="str">
        <x:v>Fees por uso</x:v>
      </x:c>
      <x:c r="B14" s="123" t="str">
        <x:v>Fee fabricante 2,50 EUR/m2 + fee montaje 2,50 EUR/m2</x:v>
      </x:c>
      <x:c r="C14" s="123" t="str">
        <x:v>Dos triggers contractuales separados y verificables</x:v>
      </x:c>
      <x:c r="D14" s="123"/>
    </x:row>
    <x:row r="15" ht="15" hidden="0" customHeight="1">
      <x:c r="A15" s="123" t="str">
        <x:v>Digitalizacion fabricante</x:v>
      </x:c>
      <x:c r="B15" s="123" t="str">
        <x:v>50k / 120k / 250k / desde 400k por m2 de planta</x:v>
      </x:c>
      <x:c r="C15" s="123" t="str">
        <x:v>Precio ligado a alcance fisico de implantacion</x:v>
      </x:c>
      <x:c r="D15" s="123"/>
    </x:row>
    <x:row r="16" ht="15" hidden="0" customHeight="1">
      <x:c r="A16" s="123" t="str">
        <x:v>Digitalizacion montaje</x:v>
      </x:c>
      <x:c r="B16" s="123" t="str">
        <x:v>35k hasta 2 cuadrillas; 75k hasta 6; Enterprise a 12k/cuadrilla</x:v>
      </x:c>
      <x:c r="C16" s="123" t="str">
        <x:v>Capacidad y complejidad operativa medibles</x:v>
      </x:c>
      <x:c r="D16" s="123"/>
    </x:row>
    <x:row r="17" ht="15" hidden="0" customHeight="1">
      <x:c r="A17" s="123" t="str">
        <x:v>KIWA/RMOOB</x:v>
      </x:c>
      <x:c r="B17" s="123" t="str">
        <x:v>Se conserva un unico proyecto de 400k Q4 2027</x:v>
      </x:c>
      <x:c r="C17" s="123" t="str">
        <x:v>Elimina duplicidad de 450k + 800k faseado</x:v>
      </x:c>
      <x:c r="D17" s="123"/>
    </x:row>
    <x:row r="18" ht="15" hidden="0" customHeight="1">
      <x:c r="A18" s="123" t="str">
        <x:v>Plan 300K</x:v>
      </x:c>
      <x:c r="B18" s="123" t="str">
        <x:v>Management case 2027 reconstruido y risk-adjusted separado</x:v>
      </x:c>
      <x:c r="C18" s="123" t="str">
        <x:v>Evita confundir pipeline bruto con ingreso probable</x:v>
      </x:c>
      <x:c r="D18" s="123"/>
    </x:row>
    <x:row r="19" ht="15" hidden="0" customHeight="1">
      <x:c r="A19" s="123" t="str">
        <x:v>Bridge</x:v>
      </x:c>
      <x:c r="B19" s="123" t="str">
        <x:v>Se explicita el salto entre plan minimo y scale case 2030</x:v>
      </x:c>
      <x:c r="C19" s="123" t="str">
        <x:v>El crecimiento acelerado exige capital y contratos adicionales</x:v>
      </x:c>
      <x:c r="D19" s="123"/>
    </x:row>
    <x:row r="20" ht="15" hidden="0" customHeight="1">
      <x:c r="A20" s="123" t="str">
        <x:v>Valoracion</x:v>
      </x:c>
      <x:c r="B20" s="123" t="str">
        <x:v>Bridge 2027 reequilibrado hacia monetizacion de red, gobierno y evidencia</x:v>
      </x:c>
      <x:c r="C20" s="123" t="str">
        <x:v>Reduce dependencia de un unico proyecto externo</x:v>
      </x:c>
      <x:c r="D20" s="123"/>
    </x:row>
    <x:row r="21" ht="15" hidden="0" customHeight="1">
      <x:c r="A21" s="123" t="str">
        <x:v>Excel</x:v>
      </x:c>
      <x:c r="B21" s="123" t="str">
        <x:v>Sensibilidades de fees, planta, cuadrillas, volumen y escenarios</x:v>
      </x:c>
      <x:c r="C21" s="123" t="str">
        <x:v>Permite negociar assumptions sin hardcodear outputs</x:v>
      </x:c>
      <x:c r="D21" s="123"/>
    </x:row>
    <x:row r="22" ht="15" hidden="0" customHeight="1">
      <x:c r="A22" s="123"/>
      <x:c r="B22" s="123"/>
      <x:c r="C22" s="123"/>
      <x:c r="D22" s="123"/>
    </x:row>
    <x:row r="23" ht="15" hidden="0" customHeight="1">
      <x:c r="A23" s="123"/>
      <x:c r="B23" s="123"/>
      <x:c r="C23" s="123"/>
      <x:c r="D23" s="123"/>
    </x:row>
    <x:row r="24" ht="15" hidden="0" customHeight="1">
      <x:c r="A24" s="123"/>
      <x:c r="B24" s="123"/>
      <x:c r="C24" s="123"/>
      <x:c r="D24" s="123"/>
    </x:row>
    <x:row r="25" ht="15" hidden="0" customHeight="1">
      <x:c r="A25" s="123"/>
      <x:c r="B25" s="123"/>
      <x:c r="C25" s="123"/>
      <x:c r="D25" s="123"/>
    </x:row>
    <x:row r="26" ht="15" hidden="0" customHeight="1">
      <x:c r="A26" s="123"/>
      <x:c r="B26" s="123"/>
      <x:c r="C26" s="123"/>
      <x:c r="D26" s="123"/>
    </x:row>
    <x:row r="27" ht="15" hidden="0" customHeight="1">
      <x:c r="A27" s="123"/>
      <x:c r="B27" s="123"/>
      <x:c r="C27" s="123"/>
      <x:c r="D27" s="123"/>
    </x:row>
    <x:row r="28" ht="15" hidden="0" customHeight="1">
      <x:c r="A28" s="123"/>
      <x:c r="B28" s="123"/>
      <x:c r="C28" s="123"/>
      <x:c r="D28" s="123"/>
    </x:row>
    <x:row r="29" ht="15" hidden="0" customHeight="1">
      <x:c r="A29" s="123"/>
      <x:c r="B29" s="123"/>
      <x:c r="C29" s="123"/>
      <x:c r="D29" s="123"/>
    </x:row>
    <x:row r="30" ht="15" hidden="0" customHeight="1">
      <x:c r="A30" s="123"/>
      <x:c r="B30" s="123"/>
      <x:c r="C30" s="123"/>
      <x:c r="D30" s="123"/>
    </x:row>
    <x:row r="31" ht="15" hidden="0" customHeight="1">
      <x:c r="A31" s="123"/>
      <x:c r="B31" s="123"/>
      <x:c r="C31" s="123"/>
      <x:c r="D31" s="123"/>
    </x:row>
    <x:row r="32" ht="15" hidden="0" customHeight="1">
      <x:c r="A32" s="123"/>
      <x:c r="B32" s="123"/>
      <x:c r="C32" s="123"/>
      <x:c r="D32" s="123"/>
    </x:row>
    <x:row r="33" ht="15" hidden="0" customHeight="1">
      <x:c r="A33" s="123"/>
      <x:c r="B33" s="123"/>
      <x:c r="C33" s="123"/>
      <x:c r="D33" s="123"/>
    </x:row>
    <x:row r="34" ht="15" hidden="0" customHeight="1">
      <x:c r="A34" s="123"/>
      <x:c r="B34" s="123"/>
      <x:c r="C34" s="123"/>
      <x:c r="D34" s="123"/>
    </x:row>
    <x:row r="35" ht="15" hidden="0" customHeight="1">
      <x:c r="A35" s="123"/>
      <x:c r="B35" s="123"/>
      <x:c r="C35" s="123"/>
      <x:c r="D35" s="123"/>
    </x:row>
    <x:row r="36" ht="15" hidden="0" customHeight="1">
      <x:c r="A36" s="123"/>
      <x:c r="B36" s="123"/>
      <x:c r="C36" s="123"/>
      <x:c r="D36" s="123"/>
    </x:row>
    <x:row r="37" ht="15" hidden="0" customHeight="1">
      <x:c r="A37" s="123"/>
      <x:c r="B37" s="123"/>
      <x:c r="C37" s="123"/>
      <x:c r="D37" s="123"/>
    </x:row>
    <x:row r="38" ht="15" hidden="0" customHeight="1">
      <x:c r="A38" s="123"/>
      <x:c r="B38" s="123"/>
      <x:c r="C38" s="123"/>
      <x:c r="D38" s="123"/>
    </x:row>
    <x:row r="39" ht="15" hidden="0" customHeight="1">
      <x:c r="A39" s="123"/>
      <x:c r="B39" s="123"/>
      <x:c r="C39" s="123"/>
      <x:c r="D39" s="123"/>
    </x:row>
    <x:row r="40" ht="15" hidden="0" customHeight="1">
      <x:c r="A40" s="123"/>
      <x:c r="B40" s="123"/>
      <x:c r="C40" s="123"/>
      <x:c r="D40" s="123"/>
    </x:row>
    <x:row r="41" ht="15" hidden="0" customHeight="1">
      <x:c r="A41" s="123"/>
      <x:c r="B41" s="123"/>
      <x:c r="C41" s="123"/>
      <x:c r="D41" s="123"/>
    </x:row>
    <x:row r="42" ht="15" hidden="0" customHeight="1">
      <x:c r="A42" s="123"/>
      <x:c r="B42" s="123"/>
      <x:c r="C42" s="123"/>
      <x:c r="D42" s="123"/>
    </x:row>
  </x:sheetData>
  <x:mergeCells>
    <x:mergeCell ref="A1:H1"/>
    <x:mergeCell ref="A2:H2"/>
  </x:mergeCells>
  <x:pageMargins left="0.7" right="0.7" top="0.75" bottom="0.75" header="0.3" footer="0.3"/>
</x:worksheet>
</file>