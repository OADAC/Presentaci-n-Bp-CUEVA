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6b2bc42cc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ortada" sheetId="1" r:id="Raf7aedf8e2b441e6"/>
    <x:sheet xmlns:r="http://schemas.openxmlformats.org/officeDocument/2006/relationships" name="01_Supuestos" sheetId="2" r:id="R47755913e98e4fda"/>
    <x:sheet xmlns:r="http://schemas.openxmlformats.org/officeDocument/2006/relationships" name="02_Detalle_Ingresos" sheetId="3" r:id="R6269972a789543c3"/>
    <x:sheet xmlns:r="http://schemas.openxmlformats.org/officeDocument/2006/relationships" name="03_Detalle_Personal" sheetId="4" r:id="R7ab77ee0fdb84a24"/>
    <x:sheet xmlns:r="http://schemas.openxmlformats.org/officeDocument/2006/relationships" name="03b_Coste_Empresa_SS" sheetId="5" r:id="R9ec502f03db8413e"/>
    <x:sheet xmlns:r="http://schemas.openxmlformats.org/officeDocument/2006/relationships" name="04_OPEX_Operativo" sheetId="6" r:id="Rd2aa4a37c11442f9"/>
    <x:sheet xmlns:r="http://schemas.openxmlformats.org/officeDocument/2006/relationships" name="05b_Gastos_GA_Detalle" sheetId="7" r:id="Ra93f329a7d0a45f0"/>
    <x:sheet xmlns:r="http://schemas.openxmlformats.org/officeDocument/2006/relationships" name="05_Detalle_OPEX" sheetId="8" r:id="R2561d6c2ebf446f2"/>
    <x:sheet xmlns:r="http://schemas.openxmlformats.org/officeDocument/2006/relationships" name="06_Cuenta_Resultados" sheetId="9" r:id="Rd2d64a7fc68c4f63"/>
    <x:sheet xmlns:r="http://schemas.openxmlformats.org/officeDocument/2006/relationships" name="07_Caja_CAPEX_WC" sheetId="10" r:id="R16570160e0b045a9"/>
    <x:sheet xmlns:r="http://schemas.openxmlformats.org/officeDocument/2006/relationships" name="08_Control" sheetId="11" r:id="R2c04f6a165b64d54"/>
    <x:sheet xmlns:r="http://schemas.openxmlformats.org/officeDocument/2006/relationships" name="09_Alcance_Modelo" sheetId="12" r:id="Re8a008c78948406f"/>
    <x:sheet xmlns:r="http://schemas.openxmlformats.org/officeDocument/2006/relationships" name="10_Paquetes_Producto" sheetId="13" r:id="Rd667e10d71624211"/>
    <x:sheet xmlns:r="http://schemas.openxmlformats.org/officeDocument/2006/relationships" name="17_Escenarios_2030" sheetId="20" r:id="Reb00c1cb112f4bc2"/>
    <x:sheet xmlns:r="http://schemas.openxmlformats.org/officeDocument/2006/relationships" name="11_Activos_Plan_26_27" sheetId="21" r:id="R072efe1118f6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#,##0.0;[Red](#,##0.0);-"/>
    <x:numFmt numFmtId="165" formatCode="0.0%;[Red](0.0%);-"/>
    <x:numFmt numFmtId="166" formatCode="#,##0;[Red](#,##0);-"/>
    <x:numFmt numFmtId="167" formatCode="0.000"/>
    <x:numFmt numFmtId="168" formatCode="0.0%"/>
    <x:numFmt numFmtId="169" formatCode="0.000x"/>
    <x:numFmt numFmtId="170" formatCode="#,##0.000"/>
    <x:numFmt numFmtId="171" formatCode="#,##0.0"/>
  </x:numFmts>
  <x:fonts count="22">
    <x:font>
      <x:sz val="11"/>
      <x:name val="Carlito"/>
    </x:font>
    <x:font>
      <x:sz val="10"/>
      <x:color rgb="FF26323F"/>
      <x:name val="Arial"/>
    </x:font>
    <x:font>
      <x:b/>
      <x:sz val="16"/>
      <x:color rgb="FFFFFFFF"/>
      <x:name val="Arial"/>
    </x:font>
    <x:font>
      <x:i/>
      <x:sz val="10"/>
      <x:color rgb="FF0B1F33"/>
      <x:name val="Arial"/>
    </x:font>
    <x:font>
      <x:b/>
      <x:sz val="10"/>
      <x:color rgb="FFFFFFFF"/>
      <x:name val="Arial"/>
    </x:font>
    <x:font>
      <x:b/>
      <x:sz val="10"/>
      <x:color rgb="FF0B1F33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26323F"/>
      <x:name val="Arial"/>
    </x:font>
    <x:font>
      <x:b/>
      <x:color rgb="FF0B1F33"/>
    </x:font>
    <x:font>
      <x:b/>
      <x:color rgb="FFFFFFFF"/>
    </x:font>
    <x:font>
      <x:b/>
      <x:sz val="18"/>
      <x:color rgb="FFFFFFFF"/>
    </x:font>
    <x:font>
      <x:i/>
      <x:color rgb="FF0B1F33"/>
    </x:font>
    <x:font>
      <x:b/>
      <x:sz val="15"/>
      <x:color rgb="FFFFFFFF"/>
      <x:name val="Arial"/>
    </x:font>
    <x:font>
      <x:sz val="10"/>
      <x:color rgb="FF26323F"/>
      <x:name val="Arial"/>
    </x:font>
    <x:font>
      <x:b/>
      <x:sz val="10"/>
      <x:color rgb="FFFFFFFF"/>
      <x:name val="Arial"/>
    </x:font>
    <x:font>
      <x:b/>
      <x:sz val="10"/>
      <x:color rgb="FF26323F"/>
      <x:name val="Arial"/>
    </x:font>
    <x:font>
      <x:b/>
      <x:sz val="13"/>
      <x:color rgb="FF0B1F33"/>
      <x:name val="Arial"/>
    </x:font>
    <x:font>
      <x:b/>
      <x:sz val="16"/>
      <x:color rgb="FFFFFFFF"/>
      <x:name val="Carlito"/>
    </x:font>
    <x:font>
      <x:i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26323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E9F6F1"/>
      </x:patternFill>
    </x:fill>
    <x:fill>
      <x:patternFill patternType="solid">
        <x:fgColor rgb="FF123C55"/>
      </x:patternFill>
    </x:fill>
    <x:fill>
      <x:patternFill patternType="solid">
        <x:fgColor rgb="FFFFF3DB"/>
      </x:patternFill>
    </x:fill>
    <x:fill>
      <x:patternFill patternType="solid">
        <x:fgColor rgb="FFE9F6F1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FFF3DB"/>
      </x:patternFill>
    </x:fill>
    <x:fill>
      <x:patternFill patternType="solid">
        <x:fgColor rgb="FFEAF7F0"/>
      </x:patternFill>
    </x:fill>
    <x:fill>
      <x:patternFill patternType="solid">
        <x:fgColor rgb="FFE9F6F1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</x:fills>
  <x:borders count="38">
    <x:border/>
    <x:border>
      <x:right style="thin">
        <x:color rgb="FFD5DEE6"/>
      </x:right>
      <x:bottom style="thin">
        <x:color rgb="FFD5DEE6"/>
      </x:bottom>
    </x:border>
    <x:border>
      <x:left style="thin">
        <x:color rgb="FFD5DEE6"/>
      </x:left>
      <x:right style="thin">
        <x:color rgb="FFD5DEE6"/>
      </x:right>
      <x:bottom style="thin">
        <x:color rgb="FFD5DEE6"/>
      </x:bottom>
    </x:border>
    <x:border>
      <x:left style="thin">
        <x:color rgb="FFD5DEE6"/>
      </x:left>
      <x:bottom style="thin">
        <x:color rgb="FFD5DEE6"/>
      </x:bottom>
    </x:border>
    <x:border>
      <x:right style="thin">
        <x:color rgb="FFD5DEE6"/>
      </x:right>
      <x:top style="thin">
        <x:color rgb="FFD5DEE6"/>
      </x:top>
      <x:bottom style="thin">
        <x:color rgb="FFD5DEE6"/>
      </x:bottom>
    </x:border>
    <x:border>
      <x:left style="thin">
        <x:color rgb="FFD5DEE6"/>
      </x:left>
      <x:right style="thin">
        <x:color rgb="FFD5DEE6"/>
      </x:right>
      <x:top style="thin">
        <x:color rgb="FFD5DEE6"/>
      </x:top>
      <x:bottom style="thin">
        <x:color rgb="FFD5DEE6"/>
      </x:bottom>
    </x:border>
    <x:border>
      <x:left style="thin">
        <x:color rgb="FFD5DEE6"/>
      </x:left>
      <x:top style="thin">
        <x:color rgb="FFD5DEE6"/>
      </x:top>
      <x:bottom style="thin">
        <x:color rgb="FFD5DEE6"/>
      </x:bottom>
    </x:border>
    <x:border>
      <x:right style="thin">
        <x:color rgb="FFD5DEE6"/>
      </x:right>
      <x:top style="thin">
        <x:color rgb="FFD5DEE6"/>
      </x:top>
    </x:border>
    <x:border>
      <x:left style="thin">
        <x:color rgb="FFD5DEE6"/>
      </x:left>
      <x:right style="thin">
        <x:color rgb="FFD5DEE6"/>
      </x:right>
      <x:top style="thin">
        <x:color rgb="FFD5DEE6"/>
      </x:top>
    </x:border>
    <x:border>
      <x:left style="thin">
        <x:color rgb="FFD5DEE6"/>
      </x:left>
      <x:top style="thin">
        <x:color rgb="FFD5DEE6"/>
      </x:top>
    </x:border>
    <x:border>
      <x:left style="thin">
        <x:color rgb="FF159A76"/>
      </x:left>
      <x:right style="thin">
        <x:color rgb="FFD5DEE6"/>
      </x:right>
      <x:top style="thin">
        <x:color rgb="FF159A76"/>
      </x:top>
      <x:bottom style="thin">
        <x:color rgb="FFD5DEE6"/>
      </x:bottom>
    </x:border>
    <x:border>
      <x:left style="thin">
        <x:color rgb="FFD5DEE6"/>
      </x:left>
      <x:right style="thin">
        <x:color rgb="FFD5DEE6"/>
      </x:right>
      <x:top style="thin">
        <x:color rgb="FF159A76"/>
      </x:top>
      <x:bottom style="thin">
        <x:color rgb="FFD5DEE6"/>
      </x:bottom>
    </x:border>
    <x:border>
      <x:left style="thin">
        <x:color rgb="FFD5DEE6"/>
      </x:left>
      <x:right style="thin">
        <x:color rgb="FF159A76"/>
      </x:right>
      <x:top style="thin">
        <x:color rgb="FF159A76"/>
      </x:top>
      <x:bottom style="thin">
        <x:color rgb="FFD5DEE6"/>
      </x:bottom>
    </x:border>
    <x:border>
      <x:left style="thin">
        <x:color rgb="FF159A76"/>
      </x:left>
      <x:right style="thin">
        <x:color rgb="FFD5DEE6"/>
      </x:right>
      <x:top style="thin">
        <x:color rgb="FFD5DEE6"/>
      </x:top>
      <x:bottom style="thin">
        <x:color rgb="FFD5DEE6"/>
      </x:bottom>
    </x:border>
    <x:border>
      <x:left style="thin">
        <x:color rgb="FFD5DEE6"/>
      </x:left>
      <x:right style="thin">
        <x:color rgb="FF159A76"/>
      </x:right>
      <x:top style="thin">
        <x:color rgb="FFD5DEE6"/>
      </x:top>
      <x:bottom style="thin">
        <x:color rgb="FFD5DEE6"/>
      </x:bottom>
    </x:border>
    <x:border>
      <x:left style="thin">
        <x:color rgb="FF159A76"/>
      </x:left>
      <x:right style="thin">
        <x:color rgb="FFD5DEE6"/>
      </x:right>
      <x:top style="thin">
        <x:color rgb="FFD5DEE6"/>
      </x:top>
      <x:bottom style="thin">
        <x:color rgb="FF159A76"/>
      </x:bottom>
    </x:border>
    <x:border>
      <x:left style="thin">
        <x:color rgb="FFD5DEE6"/>
      </x:left>
      <x:right style="thin">
        <x:color rgb="FFD5DEE6"/>
      </x:right>
      <x:top style="thin">
        <x:color rgb="FFD5DEE6"/>
      </x:top>
      <x:bottom style="thin">
        <x:color rgb="FF159A76"/>
      </x:bottom>
    </x:border>
    <x:border>
      <x:left style="thin">
        <x:color rgb="FFD5DEE6"/>
      </x:left>
      <x:right style="thin">
        <x:color rgb="FF159A76"/>
      </x:right>
      <x:top style="thin">
        <x:color rgb="FFD5DEE6"/>
      </x:top>
      <x:bottom style="thin">
        <x:color rgb="FF159A76"/>
      </x:bottom>
    </x:border>
    <x:border>
      <x:left style="thin">
        <x:color rgb="FF0B1F33"/>
      </x:left>
      <x:top style="thin">
        <x:color rgb="FF0B1F33"/>
      </x:top>
      <x:bottom style="thin">
        <x:color rgb="FF0B1F33"/>
      </x:bottom>
    </x:border>
    <x:border>
      <x:top style="thin">
        <x:color rgb="FF0B1F33"/>
      </x:top>
      <x:bottom style="thin">
        <x:color rgb="FF0B1F33"/>
      </x:bottom>
    </x:border>
    <x:border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left style="thin">
        <x:color rgb="FF159A76"/>
      </x:left>
      <x:top style="thin">
        <x:color rgb="FF159A76"/>
      </x:top>
      <x:bottom style="thin">
        <x:color rgb="FF159A76"/>
      </x:bottom>
    </x:border>
    <x:border>
      <x:top style="thin">
        <x:color rgb="FF159A76"/>
      </x:top>
      <x:bottom style="thin">
        <x:color rgb="FF159A76"/>
      </x:bottom>
    </x:border>
    <x:border>
      <x:right style="thin">
        <x:color rgb="FF159A76"/>
      </x:right>
      <x:top style="thin">
        <x:color rgb="FF159A76"/>
      </x:top>
      <x:bottom style="thin">
        <x:color rgb="FF159A76"/>
      </x:bottom>
    </x:border>
    <x:border>
      <x:left style="thin">
        <x:color rgb="FF159A76"/>
      </x:left>
      <x:top style="thin">
        <x:color rgb="FF159A76"/>
      </x:top>
    </x:border>
    <x:border>
      <x:top style="thin">
        <x:color rgb="FF159A76"/>
      </x:top>
    </x:border>
    <x:border>
      <x:right style="thin">
        <x:color rgb="FF159A76"/>
      </x:right>
      <x:top style="thin">
        <x:color rgb="FF159A76"/>
      </x:top>
    </x:border>
    <x:border>
      <x:left style="thin">
        <x:color rgb="FF159A76"/>
      </x:left>
      <x:bottom style="thin">
        <x:color rgb="FF159A76"/>
      </x:bottom>
    </x:border>
    <x:border>
      <x:bottom style="thin">
        <x:color rgb="FF159A76"/>
      </x:bottom>
    </x:border>
    <x:border>
      <x:right style="thin">
        <x:color rgb="FF159A76"/>
      </x:right>
      <x:bottom style="thin">
        <x:color rgb="FF159A76"/>
      </x:bottom>
    </x:border>
    <x:border>
      <x:left style="thin">
        <x:color rgb="FF159A76"/>
      </x:left>
    </x:border>
    <x:border>
      <x:right style="thin">
        <x:color rgb="FF159A76"/>
      </x:right>
    </x:border>
    <x:border>
      <x:left style="thin">
        <x:color rgb="FFD5DEE6"/>
      </x:left>
      <x:right style="thin">
        <x:color rgb="FFD5DEE6"/>
      </x:right>
      <x:top style="thin">
        <x:color rgb="FFD5DEE6"/>
      </x:top>
      <x:bottom style="thin">
        <x:color rgb="FFD5DEE6"/>
      </x:bottom>
    </x:border>
    <x:border>
      <x:top style="thin">
        <x:color rgb="FFD5DEE6"/>
      </x:top>
    </x:border>
    <x:border>
      <x:top style="thin">
        <x:color rgb="FFD5DEE6"/>
      </x:top>
      <x:bottom style="thin">
        <x:color rgb="FFD5DEE6"/>
      </x:bottom>
    </x:border>
    <x:border>
      <x:bottom style="thin">
        <x:color rgb="FFD5DEE6"/>
      </x:bottom>
    </x:border>
    <x:border>
      <x:bottom style="thin">
        <x:color rgb="FFE8EEF3"/>
      </x:bottom>
    </x:border>
    <x:border>
      <x:top style="thin">
        <x:color rgb="FFD5DEE6"/>
      </x:top>
      <x:bottom style="thin">
        <x:color rgb="FFD5DEE6"/>
      </x:bottom>
    </x:border>
  </x:borders>
  <x:cellStyleXfs count="1">
    <x:xf numFmtId="0" fontId="0" fillId="0" borderId="0"/>
  </x:cellStyleXfs>
  <x:cellXfs count="234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1" fillId="2" borderId="0" xfId="0"/>
    <x:xf numFmtId="0" fontId="1" fillId="2" borderId="0" xfId="0" applyAlignment="1">
      <x:alignment wrapText="1"/>
    </x:xf>
    <x:xf numFmtId="0" fontId="2" fillId="2" borderId="0" xfId="0"/>
    <x:xf numFmtId="0" fontId="2" fillId="2" borderId="0" xfId="0" applyAlignment="1">
      <x:alignment wrapText="1"/>
    </x:xf>
    <x:xf numFmtId="0" fontId="1" fillId="3" borderId="0" xfId="0"/>
    <x:xf numFmtId="0" fontId="3" fillId="3" borderId="0" xfId="0"/>
    <x:xf numFmtId="0" fontId="4" fillId="2" borderId="0" xfId="0"/>
    <x:xf numFmtId="0" fontId="1" fillId="0" borderId="1" xfId="0"/>
    <x:xf numFmtId="0" fontId="1" fillId="0" borderId="2" xfId="0"/>
    <x:xf numFmtId="0" fontId="1" fillId="0" borderId="3" xfId="0"/>
    <x:xf numFmtId="0" fontId="1" fillId="0" borderId="4" xfId="0"/>
    <x:xf numFmtId="0" fontId="1" fillId="0" borderId="5" xfId="0"/>
    <x:xf numFmtId="0" fontId="1" fillId="0" borderId="6" xfId="0"/>
    <x:xf numFmtId="0" fontId="1" fillId="0" borderId="7" xfId="0"/>
    <x:xf numFmtId="0" fontId="1" fillId="0" borderId="8" xfId="0"/>
    <x:xf numFmtId="0" fontId="1" fillId="0" borderId="9" xfId="0"/>
    <x:xf numFmtId="0" fontId="1" fillId="4" borderId="2" xfId="0"/>
    <x:xf numFmtId="0" fontId="1" fillId="4" borderId="3" xfId="0"/>
    <x:xf numFmtId="0" fontId="1" fillId="4" borderId="5" xfId="0"/>
    <x:xf numFmtId="0" fontId="1" fillId="4" borderId="6" xfId="0"/>
    <x:xf numFmtId="0" fontId="5" fillId="4" borderId="2" xfId="0"/>
    <x:xf numFmtId="0" fontId="5" fillId="4" borderId="3" xfId="0"/>
    <x:xf numFmtId="0" fontId="5" fillId="4" borderId="5" xfId="0"/>
    <x:xf numFmtId="0" fontId="5" fillId="4" borderId="6" xfId="0"/>
    <x:xf numFmtId="164" fontId="5" fillId="4" borderId="2" xfId="0"/>
    <x:xf numFmtId="164" fontId="5" fillId="4" borderId="3" xfId="0"/>
    <x:xf numFmtId="164" fontId="5" fillId="4" borderId="5" xfId="0"/>
    <x:xf numFmtId="164" fontId="5" fillId="4" borderId="6" xfId="0"/>
    <x:xf numFmtId="164" fontId="5" fillId="4" borderId="10" xfId="0"/>
    <x:xf numFmtId="164" fontId="5" fillId="4" borderId="11" xfId="0"/>
    <x:xf numFmtId="164" fontId="5" fillId="4" borderId="12" xfId="0"/>
    <x:xf numFmtId="164" fontId="5" fillId="4" borderId="13" xfId="0"/>
    <x:xf numFmtId="164" fontId="5" fillId="4" borderId="14" xfId="0"/>
    <x:xf numFmtId="164" fontId="5" fillId="4" borderId="15" xfId="0"/>
    <x:xf numFmtId="164" fontId="5" fillId="4" borderId="16" xfId="0"/>
    <x:xf numFmtId="164" fontId="5" fillId="4" borderId="17" xfId="0"/>
    <x:xf numFmtId="165" fontId="5" fillId="4" borderId="5" xfId="0"/>
    <x:xf numFmtId="166" fontId="5" fillId="4" borderId="5" xfId="0"/>
    <x:xf numFmtId="0" fontId="1" fillId="5" borderId="0" xfId="0"/>
    <x:xf numFmtId="0" fontId="4" fillId="5" borderId="0" xfId="0"/>
    <x:xf numFmtId="0" fontId="4" fillId="5" borderId="1" xfId="0"/>
    <x:xf numFmtId="0" fontId="4" fillId="5" borderId="2" xfId="0"/>
    <x:xf numFmtId="0" fontId="4" fillId="5" borderId="3" xfId="0"/>
    <x:xf numFmtId="0" fontId="0" fillId="0" borderId="0" xfId="0" applyAlignment="1">
      <x:alignment wrapText="1"/>
    </x:xf>
    <x:xf numFmtId="0" fontId="6" fillId="0" borderId="0" xfId="0"/>
    <x:xf numFmtId="164" fontId="6" fillId="0" borderId="0" xfId="0"/>
    <x:xf numFmtId="166" fontId="1" fillId="0" borderId="0" xfId="0"/>
    <x:xf numFmtId="0" fontId="4" fillId="2" borderId="18" xfId="0"/>
    <x:xf numFmtId="0" fontId="4" fillId="2" borderId="19" xfId="0"/>
    <x:xf numFmtId="0" fontId="4" fillId="2" borderId="20" xfId="0"/>
    <x:xf numFmtId="49" fontId="4" fillId="2" borderId="19" xfId="0"/>
    <x:xf numFmtId="165" fontId="6" fillId="0" borderId="0" xfId="0"/>
    <x:xf numFmtId="0" fontId="1" fillId="4" borderId="0" xfId="0"/>
    <x:xf numFmtId="0" fontId="5" fillId="4" borderId="0" xfId="0"/>
    <x:xf numFmtId="164" fontId="5" fillId="4" borderId="0" xfId="0"/>
    <x:xf numFmtId="164" fontId="5" fillId="4" borderId="21" xfId="0"/>
    <x:xf numFmtId="164" fontId="5" fillId="4" borderId="22" xfId="0"/>
    <x:xf numFmtId="164" fontId="5" fillId="4" borderId="23" xfId="0"/>
    <x:xf numFmtId="0" fontId="7" fillId="0" borderId="0" xfId="0"/>
    <x:xf numFmtId="164" fontId="7" fillId="0" borderId="0" xfId="0"/>
    <x:xf numFmtId="164" fontId="7" fillId="4" borderId="0" xfId="0"/>
    <x:xf numFmtId="164" fontId="1" fillId="0" borderId="0" xfId="0"/>
    <x:xf numFmtId="164" fontId="1" fillId="4" borderId="0" xfId="0"/>
    <x:xf numFmtId="165" fontId="1" fillId="0" borderId="0" xfId="0"/>
    <x:xf numFmtId="164" fontId="5" fillId="4" borderId="24" xfId="0"/>
    <x:xf numFmtId="164" fontId="5" fillId="4" borderId="25" xfId="0"/>
    <x:xf numFmtId="164" fontId="5" fillId="4" borderId="26" xfId="0"/>
    <x:xf numFmtId="164" fontId="5" fillId="4" borderId="27" xfId="0"/>
    <x:xf numFmtId="164" fontId="5" fillId="4" borderId="28" xfId="0"/>
    <x:xf numFmtId="164" fontId="5" fillId="4" borderId="29" xfId="0"/>
    <x:xf numFmtId="165" fontId="7" fillId="0" borderId="0" xfId="0"/>
    <x:xf numFmtId="0" fontId="8" fillId="0" borderId="0" xfId="0"/>
    <x:xf numFmtId="0" fontId="8" fillId="4" borderId="0" xfId="0"/>
    <x:xf numFmtId="164" fontId="5" fillId="4" borderId="30" xfId="0"/>
    <x:xf numFmtId="164" fontId="5" fillId="4" borderId="31" xfId="0"/>
    <x:xf numFmtId="164" fontId="5" fillId="4" borderId="24" xfId="0" applyAlignment="1">
      <x:alignment wrapText="1"/>
    </x:xf>
    <x:xf numFmtId="164" fontId="5" fillId="4" borderId="25" xfId="0" applyAlignment="1">
      <x:alignment wrapText="1"/>
    </x:xf>
    <x:xf numFmtId="164" fontId="5" fillId="4" borderId="26" xfId="0" applyAlignment="1">
      <x:alignment wrapText="1"/>
    </x:xf>
    <x:xf numFmtId="164" fontId="5" fillId="4" borderId="30" xfId="0" applyAlignment="1">
      <x:alignment wrapText="1"/>
    </x:xf>
    <x:xf numFmtId="164" fontId="5" fillId="4" borderId="0" xfId="0" applyAlignment="1">
      <x:alignment wrapText="1"/>
    </x:xf>
    <x:xf numFmtId="164" fontId="5" fillId="4" borderId="31" xfId="0" applyAlignment="1">
      <x:alignment wrapText="1"/>
    </x:xf>
    <x:xf numFmtId="164" fontId="5" fillId="4" borderId="27" xfId="0" applyAlignment="1">
      <x:alignment wrapText="1"/>
    </x:xf>
    <x:xf numFmtId="164" fontId="5" fillId="4" borderId="28" xfId="0" applyAlignment="1">
      <x:alignment wrapText="1"/>
    </x:xf>
    <x:xf numFmtId="164" fontId="5" fillId="4" borderId="29" xfId="0" applyAlignment="1">
      <x:alignment wrapText="1"/>
    </x:xf>
    <x:xf numFmtId="0" fontId="1" fillId="5" borderId="0" xfId="0" applyAlignment="1">
      <x:alignment wrapText="1"/>
    </x:xf>
    <x:xf numFmtId="0" fontId="4" fillId="5" borderId="0" xfId="0" applyAlignment="1">
      <x:alignment wrapText="1"/>
    </x:xf>
    <x:xf numFmtId="0" fontId="4" fillId="2" borderId="0" xfId="0" applyAlignment="1">
      <x:alignment wrapText="1"/>
    </x:xf>
    <x:xf numFmtId="0" fontId="4" fillId="2" borderId="18" xfId="0" applyAlignment="1">
      <x:alignment wrapText="1"/>
    </x:xf>
    <x:xf numFmtId="0" fontId="4" fillId="2" borderId="19" xfId="0" applyAlignment="1">
      <x:alignment wrapText="1"/>
    </x:xf>
    <x:xf numFmtId="0" fontId="4" fillId="2" borderId="20" xfId="0" applyAlignment="1">
      <x:alignment wrapText="1"/>
    </x:xf>
    <x:xf numFmtId="164" fontId="1" fillId="0" borderId="0" xfId="0" applyAlignment="1">
      <x:alignment wrapText="1"/>
    </x:xf>
    <x:xf numFmtId="0" fontId="1" fillId="4" borderId="0" xfId="0" applyAlignment="1">
      <x:alignment wrapText="1"/>
    </x:xf>
    <x:xf numFmtId="164" fontId="1" fillId="4" borderId="0" xfId="0" applyAlignment="1">
      <x:alignment wrapText="1"/>
    </x:xf>
    <x:xf numFmtId="0" fontId="5" fillId="4" borderId="0" xfId="0" applyAlignment="1">
      <x:alignment wrapText="1"/>
    </x:xf>
    <x:xf numFmtId="164" fontId="5" fillId="4" borderId="21" xfId="0" applyAlignment="1">
      <x:alignment wrapText="1"/>
    </x:xf>
    <x:xf numFmtId="164" fontId="5" fillId="4" borderId="22" xfId="0" applyAlignment="1">
      <x:alignment wrapText="1"/>
    </x:xf>
    <x:xf numFmtId="164" fontId="5" fillId="4" borderId="23" xfId="0" applyAlignment="1">
      <x:alignment wrapText="1"/>
    </x:xf>
    <x:xf numFmtId="165" fontId="1" fillId="4" borderId="0" xfId="0"/>
    <x:xf numFmtId="165" fontId="5" fillId="4" borderId="0" xfId="0"/>
    <x:xf numFmtId="165" fontId="1" fillId="0" borderId="0" xfId="0" applyAlignment="1">
      <x:alignment wrapText="1"/>
    </x:xf>
    <x:xf numFmtId="0" fontId="1" fillId="6" borderId="0" xfId="0"/>
    <x:xf numFmtId="0" fontId="5" fillId="6" borderId="0" xfId="0"/>
    <x:xf numFmtId="166" fontId="1" fillId="0" borderId="0" xfId="0" applyAlignment="1">
      <x:alignment wrapText="1"/>
    </x:xf>
    <x:xf numFmtId="0" fontId="5" fillId="6" borderId="0" xfId="0" applyAlignment="1">
      <x:alignment wrapText="1"/>
    </x:xf>
    <x:xf numFmtId="0" fontId="2" fillId="2" borderId="1" xfId="0"/>
    <x:xf numFmtId="0" fontId="2" fillId="2" borderId="2" xfId="0"/>
    <x:xf numFmtId="0" fontId="2" fillId="2" borderId="2" xfId="0" applyAlignment="1">
      <x:alignment wrapText="1"/>
    </x:xf>
    <x:xf numFmtId="0" fontId="2" fillId="2" borderId="3" xfId="0" applyAlignment="1">
      <x:alignment wrapText="1"/>
    </x:xf>
    <x:xf numFmtId="0" fontId="3" fillId="3" borderId="4" xfId="0"/>
    <x:xf numFmtId="0" fontId="3" fillId="3" borderId="5" xfId="0"/>
    <x:xf numFmtId="0" fontId="3" fillId="3" borderId="6" xfId="0"/>
    <x:xf numFmtId="0" fontId="4" fillId="2" borderId="4" xfId="0"/>
    <x:xf numFmtId="0" fontId="4" fillId="2" borderId="5" xfId="0"/>
    <x:xf numFmtId="0" fontId="4" fillId="5" borderId="4" xfId="0"/>
    <x:xf numFmtId="0" fontId="4" fillId="5" borderId="5" xfId="0"/>
    <x:xf numFmtId="0" fontId="4" fillId="5" borderId="6" xfId="0"/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0" fillId="0" borderId="5" xfId="0"/>
    <x:xf numFmtId="0" fontId="0" fillId="0" borderId="6" xfId="0"/>
    <x:xf numFmtId="166" fontId="1" fillId="0" borderId="5" xfId="0"/>
    <x:xf numFmtId="164" fontId="6" fillId="0" borderId="5" xfId="0"/>
    <x:xf numFmtId="49" fontId="4" fillId="2" borderId="5" xfId="0"/>
    <x:xf numFmtId="165" fontId="6" fillId="0" borderId="5" xfId="0"/>
    <x:xf numFmtId="0" fontId="0" fillId="0" borderId="8" xfId="0"/>
    <x:xf numFmtId="0" fontId="0" fillId="0" borderId="9" xfId="0"/>
    <x:xf numFmtId="0" fontId="4" fillId="2" borderId="6" xfId="0"/>
    <x:xf numFmtId="164" fontId="5" fillId="4" borderId="4" xfId="0"/>
    <x:xf numFmtId="164" fontId="7" fillId="0" borderId="5" xfId="0"/>
    <x:xf numFmtId="0" fontId="2" fillId="2" borderId="3" xfId="0"/>
    <x:xf numFmtId="164" fontId="1" fillId="0" borderId="5" xfId="0"/>
    <x:xf numFmtId="164" fontId="1" fillId="0" borderId="6" xfId="0"/>
    <x:xf numFmtId="165" fontId="1" fillId="0" borderId="5" xfId="0"/>
    <x:xf numFmtId="165" fontId="7" fillId="0" borderId="5" xfId="0"/>
    <x:xf numFmtId="0" fontId="8" fillId="0" borderId="5" xfId="0"/>
    <x:xf numFmtId="164" fontId="5" fillId="4" borderId="4" xfId="0" applyAlignment="1">
      <x:alignment wrapText="1"/>
    </x:xf>
    <x:xf numFmtId="164" fontId="5" fillId="4" borderId="5" xfId="0" applyAlignment="1">
      <x:alignment wrapText="1"/>
    </x:xf>
    <x:xf numFmtId="0" fontId="1" fillId="0" borderId="5" xfId="0" applyAlignment="1">
      <x:alignment wrapText="1"/>
    </x:xf>
    <x:xf numFmtId="0" fontId="1" fillId="0" borderId="6" xfId="0" applyAlignment="1">
      <x:alignment wrapText="1"/>
    </x:xf>
    <x:xf numFmtId="0" fontId="1" fillId="0" borderId="4" xfId="0" applyAlignment="1">
      <x:alignment wrapText="1"/>
    </x:xf>
    <x:xf numFmtId="0" fontId="4" fillId="5" borderId="4" xfId="0" applyAlignment="1">
      <x:alignment wrapText="1"/>
    </x:xf>
    <x:xf numFmtId="0" fontId="4" fillId="5" borderId="5" xfId="0" applyAlignment="1">
      <x:alignment wrapText="1"/>
    </x:xf>
    <x:xf numFmtId="0" fontId="4" fillId="5" borderId="6" xfId="0" applyAlignment="1">
      <x:alignment wrapText="1"/>
    </x:xf>
    <x:xf numFmtId="0" fontId="4" fillId="2" borderId="4" xfId="0" applyAlignment="1">
      <x:alignment wrapText="1"/>
    </x:xf>
    <x:xf numFmtId="0" fontId="4" fillId="2" borderId="5" xfId="0" applyAlignment="1">
      <x:alignment wrapText="1"/>
    </x:xf>
    <x:xf numFmtId="0" fontId="4" fillId="2" borderId="6" xfId="0" applyAlignment="1">
      <x:alignment wrapText="1"/>
    </x:xf>
    <x:xf numFmtId="164" fontId="1" fillId="0" borderId="5" xfId="0" applyAlignment="1">
      <x:alignment wrapText="1"/>
    </x:xf>
    <x:xf numFmtId="164" fontId="5" fillId="4" borderId="6" xfId="0" applyAlignment="1">
      <x:alignment wrapText="1"/>
    </x:xf>
    <x:xf numFmtId="165" fontId="1" fillId="0" borderId="5" xfId="0" applyAlignment="1">
      <x:alignment wrapText="1"/>
    </x:xf>
    <x:xf numFmtId="166" fontId="1" fillId="0" borderId="5" xfId="0" applyAlignment="1">
      <x:alignment wrapText="1"/>
    </x:xf>
    <x:xf numFmtId="0" fontId="5" fillId="6" borderId="4" xfId="0" applyAlignment="1">
      <x:alignment wrapText="1"/>
    </x:xf>
    <x:xf numFmtId="164" fontId="5" fillId="4" borderId="5" xfId="0"/>
    <x:xf numFmtId="165" fontId="5" fillId="4" borderId="5" xfId="0"/>
    <x:xf numFmtId="166" fontId="5" fillId="4" borderId="5" xfId="0"/>
    <x:xf numFmtId="166" fontId="1" fillId="0" borderId="5" xfId="0"/>
    <x:xf numFmtId="164" fontId="6" fillId="0" borderId="5" xfId="0"/>
    <x:xf numFmtId="49" fontId="4" fillId="2" borderId="5" xfId="0"/>
    <x:xf numFmtId="165" fontId="6" fillId="0" borderId="5" xfId="0"/>
    <x:xf numFmtId="164" fontId="5" fillId="4" borderId="4" xfId="0"/>
    <x:xf numFmtId="164" fontId="5" fillId="4" borderId="6" xfId="0"/>
    <x:xf numFmtId="164" fontId="7" fillId="0" borderId="5" xfId="0"/>
    <x:xf numFmtId="164" fontId="1" fillId="0" borderId="5" xfId="0"/>
    <x:xf numFmtId="164" fontId="1" fillId="0" borderId="6" xfId="0"/>
    <x:xf numFmtId="165" fontId="1" fillId="0" borderId="5" xfId="0"/>
    <x:xf numFmtId="165" fontId="7" fillId="0" borderId="5" xfId="0"/>
    <x:xf numFmtId="164" fontId="5" fillId="4" borderId="4" xfId="0" applyAlignment="1">
      <x:alignment wrapText="1"/>
    </x:xf>
    <x:xf numFmtId="164" fontId="5" fillId="4" borderId="5" xfId="0" applyAlignment="1">
      <x:alignment wrapText="1"/>
    </x:xf>
    <x:xf numFmtId="164" fontId="1" fillId="0" borderId="5" xfId="0" applyAlignment="1">
      <x:alignment wrapText="1"/>
    </x:xf>
    <x:xf numFmtId="164" fontId="5" fillId="4" borderId="6" xfId="0" applyAlignment="1">
      <x:alignment wrapText="1"/>
    </x:xf>
    <x:xf numFmtId="165" fontId="1" fillId="0" borderId="5" xfId="0" applyAlignment="1">
      <x:alignment wrapText="1"/>
    </x:xf>
    <x:xf numFmtId="166" fontId="1" fillId="0" borderId="5" xfId="0" applyAlignment="1">
      <x:alignment wrapText="1"/>
    </x:xf>
    <x:xf numFmtId="0" fontId="10" fillId="8" borderId="32" xfId="0" applyAlignment="1">
      <x:alignment horizontal="left" vertical="center"/>
    </x:xf>
    <x:xf numFmtId="0" fontId="1" fillId="0" borderId="32" xfId="0" applyAlignment="1">
      <x:alignment vertical="top" wrapText="1"/>
    </x:xf>
    <x:xf numFmtId="167" fontId="1" fillId="0" borderId="32" xfId="0" applyAlignment="1">
      <x:alignment vertical="top" wrapText="1"/>
    </x:xf>
    <x:xf numFmtId="164" fontId="9" fillId="7" borderId="32" xfId="0" applyAlignment="1">
      <x:alignment vertical="top" wrapText="1"/>
    </x:xf>
    <x:xf numFmtId="167" fontId="9" fillId="7" borderId="32" xfId="0" applyAlignment="1">
      <x:alignment vertical="top" wrapText="1"/>
    </x:xf>
    <x:xf numFmtId="0" fontId="11" fillId="8" borderId="0" xfId="0"/>
    <x:xf numFmtId="0" fontId="12" fillId="9" borderId="0" xfId="0"/>
    <x:xf numFmtId="0" fontId="10" fillId="8" borderId="32" xfId="0" applyAlignment="1">
      <x:alignment vertical="top" wrapText="1"/>
    </x:xf>
    <x:xf numFmtId="0" fontId="0" fillId="0" borderId="32" xfId="0" applyAlignment="1">
      <x:alignment vertical="top" wrapText="1"/>
    </x:xf>
    <x:xf numFmtId="167" fontId="0" fillId="0" borderId="32" xfId="0" applyAlignment="1">
      <x:alignment vertical="top" wrapText="1"/>
    </x:xf>
    <x:xf numFmtId="0" fontId="9" fillId="7" borderId="32" xfId="0" applyAlignment="1">
      <x:alignment vertical="top" wrapText="1"/>
    </x:xf>
    <x:xf numFmtId="0" fontId="9" fillId="10" borderId="32" xfId="0" applyAlignment="1">
      <x:alignment vertical="top" wrapText="1"/>
    </x:xf>
    <x:xf numFmtId="167" fontId="9" fillId="10" borderId="32" xfId="0" applyAlignment="1">
      <x:alignment vertical="top" wrapText="1"/>
    </x:xf>
    <x:xf numFmtId="0" fontId="13" fillId="8" borderId="4" xfId="0" applyAlignment="1">
      <x:alignment vertical="center"/>
    </x:xf>
    <x:xf numFmtId="0" fontId="0" fillId="0" borderId="34" xfId="0"/>
    <x:xf numFmtId="0" fontId="0" fillId="0" borderId="4" xfId="0"/>
    <x:xf numFmtId="0" fontId="14" fillId="0" borderId="4" xfId="0" applyAlignment="1">
      <x:alignment vertical="top" wrapText="1"/>
    </x:xf>
    <x:xf numFmtId="0" fontId="15" fillId="8" borderId="35" xfId="0" applyAlignment="1">
      <x:alignment vertical="center" wrapText="1"/>
    </x:xf>
    <x:xf numFmtId="0" fontId="16" fillId="0" borderId="36" xfId="0" applyAlignment="1">
      <x:alignment vertical="top" wrapText="1"/>
    </x:xf>
    <x:xf numFmtId="168" fontId="1" fillId="0" borderId="36" xfId="0" applyAlignment="1">
      <x:alignment vertical="top" wrapText="1"/>
    </x:xf>
    <x:xf numFmtId="0" fontId="1" fillId="0" borderId="36" xfId="0" applyAlignment="1">
      <x:alignment vertical="top" wrapText="1"/>
    </x:xf>
    <x:xf numFmtId="169" fontId="1" fillId="0" borderId="36" xfId="0" applyAlignment="1">
      <x:alignment vertical="top" wrapText="1"/>
    </x:xf>
    <x:xf numFmtId="170" fontId="1" fillId="0" borderId="5" xfId="0"/>
    <x:xf numFmtId="170" fontId="1" fillId="0" borderId="6" xfId="0"/>
    <x:xf numFmtId="164" fontId="16" fillId="11" borderId="37" xfId="0"/>
    <x:xf numFmtId="170" fontId="16" fillId="11" borderId="37" xfId="0"/>
    <x:xf numFmtId="0" fontId="13" fillId="8" borderId="0" xfId="0" applyAlignment="1">
      <x:alignment vertical="center"/>
    </x:xf>
    <x:xf numFmtId="0" fontId="14" fillId="0" borderId="0" xfId="0" applyAlignment="1">
      <x:alignment vertical="top" wrapText="1"/>
    </x:xf>
    <x:xf numFmtId="170" fontId="0" fillId="0" borderId="36" xfId="0" applyAlignment="1">
      <x:alignment vertical="top" wrapText="1"/>
    </x:xf>
    <x:xf numFmtId="0" fontId="0" fillId="0" borderId="36" xfId="0" applyAlignment="1">
      <x:alignment vertical="top" wrapText="1"/>
    </x:xf>
    <x:xf numFmtId="0" fontId="14" fillId="0" borderId="36" xfId="0" applyAlignment="1">
      <x:alignment vertical="top" wrapText="1"/>
    </x:xf>
    <x:xf numFmtId="168" fontId="0" fillId="0" borderId="36" xfId="0" applyAlignment="1">
      <x:alignment vertical="top" wrapText="1"/>
    </x:xf>
    <x:xf numFmtId="0" fontId="16" fillId="11" borderId="37" xfId="0" applyAlignment="1">
      <x:alignment vertical="top" wrapText="1"/>
    </x:xf>
    <x:xf numFmtId="170" fontId="16" fillId="11" borderId="37" xfId="0" applyAlignment="1">
      <x:alignment vertical="top" wrapText="1"/>
    </x:xf>
    <x:xf numFmtId="0" fontId="17" fillId="0" borderId="0" xfId="0"/>
    <x:xf numFmtId="164" fontId="5" fillId="4" borderId="36" xfId="0" applyAlignment="1">
      <x:alignment vertical="top" wrapText="1"/>
    </x:xf>
    <x:xf numFmtId="171" fontId="0" fillId="0" borderId="36" xfId="0" applyAlignment="1">
      <x:alignment vertical="top" wrapText="1"/>
    </x:xf>
    <x:xf numFmtId="169" fontId="0" fillId="0" borderId="36" xfId="0" applyAlignment="1">
      <x:alignment vertical="top" wrapText="1"/>
    </x:xf>
    <x:xf numFmtId="0" fontId="16" fillId="11" borderId="37" xfId="0"/>
    <x:xf numFmtId="0" fontId="1" fillId="12" borderId="4" xfId="0" applyNumberFormat="1" applyFont="1" applyFill="1" applyBorder="1"/>
    <x:xf numFmtId="0" fontId="1" fillId="12" borderId="5" xfId="0" applyNumberFormat="1" applyFont="1" applyFill="1" applyBorder="1"/>
    <x:xf numFmtId="0" fontId="5" fillId="12" borderId="4" xfId="0" applyNumberFormat="1" applyFont="1" applyFill="1" applyBorder="1"/>
    <x:xf numFmtId="0" fontId="5" fillId="12" borderId="5" xfId="0" applyNumberFormat="1" applyFont="1" applyFill="1" applyBorder="1"/>
    <x:xf numFmtId="0" fontId="5" fillId="12" borderId="5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6" xfId="0" applyNumberFormat="1" applyFont="1" applyFill="1" applyBorder="1"/>
    <x:xf numFmtId="0" fontId="18" fillId="13" borderId="34" xfId="0" applyNumberFormat="1" applyFont="1" applyFill="1" applyBorder="1"/>
    <x:xf numFmtId="0" fontId="18" fillId="13" borderId="4" xfId="0" applyNumberFormat="1" applyFont="1" applyFill="1" applyBorder="1"/>
    <x:xf numFmtId="0" fontId="0" fillId="14" borderId="0" xfId="0" applyNumberFormat="1" applyFont="1" applyFill="1" applyBorder="1"/>
    <x:xf numFmtId="0" fontId="19" fillId="14" borderId="0" xfId="0" applyNumberFormat="1" applyFont="1" applyFill="1" applyBorder="1"/>
    <x:xf numFmtId="0" fontId="19" fillId="14" borderId="6" xfId="0" applyNumberFormat="1" applyFont="1" applyFill="1" applyBorder="1"/>
    <x:xf numFmtId="0" fontId="19" fillId="14" borderId="34" xfId="0" applyNumberFormat="1" applyFont="1" applyFill="1" applyBorder="1"/>
    <x:xf numFmtId="0" fontId="19" fillId="14" borderId="4" xfId="0" applyNumberFormat="1" applyFont="1" applyFill="1" applyBorder="1"/>
    <x:xf numFmtId="0" fontId="20" fillId="13" borderId="0" xfId="0" applyNumberFormat="1" applyFont="1" applyFill="1" applyBorder="1"/>
    <x:xf numFmtId="0" fontId="20" fillId="13" borderId="5" xfId="0" applyNumberFormat="1" applyFont="1" applyFill="1" applyBorder="1"/>
    <x:xf numFmtId="0" fontId="20" fillId="13" borderId="5" xfId="0" applyNumberFormat="1" applyFont="1" applyFill="1" applyBorder="1" applyAlignment="1">
      <x:alignment wrapText="1"/>
    </x:xf>
    <x:xf numFmtId="0" fontId="21" fillId="0" borderId="0" xfId="0" applyNumberFormat="1" applyFont="1" applyFill="1" applyBorder="1"/>
    <x:xf numFmtId="0" fontId="21" fillId="0" borderId="5" xfId="0" applyNumberFormat="1" applyFont="1" applyFill="1" applyBorder="1"/>
    <x:xf numFmtId="0" fontId="21" fillId="0" borderId="5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21cbc09754135" /><Relationship Type="http://schemas.openxmlformats.org/officeDocument/2006/relationships/theme" Target="/xl/theme/theme1.xml" Id="Rc45341b820bf49b0" /><Relationship Type="http://schemas.openxmlformats.org/officeDocument/2006/relationships/sharedStrings" Target="/xl/sharedStrings.xml" Id="Rfeadf8dd55214fbd" /><Relationship Type="http://schemas.openxmlformats.org/officeDocument/2006/relationships/worksheet" Target="/xl/worksheets/sheet1.xml" Id="Raf7aedf8e2b441e6" /><Relationship Type="http://schemas.openxmlformats.org/officeDocument/2006/relationships/worksheet" Target="/xl/worksheets/sheet2.xml" Id="R47755913e98e4fda" /><Relationship Type="http://schemas.openxmlformats.org/officeDocument/2006/relationships/worksheet" Target="/xl/worksheets/sheet3.xml" Id="R6269972a789543c3" /><Relationship Type="http://schemas.openxmlformats.org/officeDocument/2006/relationships/worksheet" Target="/xl/worksheets/sheet4.xml" Id="R7ab77ee0fdb84a24" /><Relationship Type="http://schemas.openxmlformats.org/officeDocument/2006/relationships/worksheet" Target="/xl/worksheets/sheet5.xml" Id="R9ec502f03db8413e" /><Relationship Type="http://schemas.openxmlformats.org/officeDocument/2006/relationships/worksheet" Target="/xl/worksheets/sheet6.xml" Id="Rd2aa4a37c11442f9" /><Relationship Type="http://schemas.openxmlformats.org/officeDocument/2006/relationships/worksheet" Target="/xl/worksheets/sheet7.xml" Id="Ra93f329a7d0a45f0" /><Relationship Type="http://schemas.openxmlformats.org/officeDocument/2006/relationships/worksheet" Target="/xl/worksheets/sheet8.xml" Id="R2561d6c2ebf446f2" /><Relationship Type="http://schemas.openxmlformats.org/officeDocument/2006/relationships/worksheet" Target="/xl/worksheets/sheet9.xml" Id="Rd2d64a7fc68c4f63" /><Relationship Type="http://schemas.openxmlformats.org/officeDocument/2006/relationships/worksheet" Target="/xl/worksheets/sheet10.xml" Id="R16570160e0b045a9" /><Relationship Type="http://schemas.openxmlformats.org/officeDocument/2006/relationships/worksheet" Target="/xl/worksheets/sheet11.xml" Id="R2c04f6a165b64d54" /><Relationship Type="http://schemas.openxmlformats.org/officeDocument/2006/relationships/worksheet" Target="/xl/worksheets/sheet12.xml" Id="Re8a008c78948406f" /><Relationship Type="http://schemas.openxmlformats.org/officeDocument/2006/relationships/worksheet" Target="/xl/worksheets/sheet13.xml" Id="Rd667e10d71624211" /><Relationship Type="http://schemas.openxmlformats.org/officeDocument/2006/relationships/worksheet" Target="/xl/worksheets/sheet14.xml" Id="Reb00c1cb112f4bc2" /><Relationship Type="http://schemas.openxmlformats.org/officeDocument/2006/relationships/worksheet" Target="/xl/worksheets/sheet15.xml" Id="R072efe1118f640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34" customWidth="1"/>
    <x:col min="3" max="3" width="14" customWidth="1"/>
    <x:col min="4" max="4" width="28" customWidth="1"/>
    <x:col min="5" max="5" width="18" customWidth="1"/>
    <x:col min="6" max="6" width="34" customWidth="1"/>
    <x:col min="7" max="7" width="34" customWidth="1"/>
    <x:col min="8" max="8" width="34" customWidth="1"/>
  </x:cols>
  <x:sheetData>
    <x:row r="1">
      <x:c r="A1" s="107" t="str">
        <x:v>CUEVA - Modelo financiero BP 26/30</x:v>
      </x:c>
      <x:c r="B1" s="108"/>
      <x:c r="C1" s="108"/>
      <x:c r="D1" s="108"/>
      <x:c r="E1" s="108"/>
      <x:c r="F1" s="109"/>
      <x:c r="G1" s="109" t="str"/>
      <x:c r="H1" s="110" t="str"/>
    </x:row>
    <x:row r="2">
      <x:c r="A2" s="111" t="str">
        <x:v>Plan operativo 2026/27-2030 con drivers de ingresos, costes, EBITDA, caja, CAPEX, escenarios y controles.</x:v>
      </x:c>
      <x:c r="B2" s="112"/>
      <x:c r="C2" s="112"/>
      <x:c r="D2" s="112"/>
      <x:c r="E2" s="112"/>
      <x:c r="F2" s="112"/>
      <x:c r="G2" s="112" t="str"/>
      <x:c r="H2" s="113" t="str"/>
    </x:row>
    <x:row r="3">
      <x:c r="A3" s="13" t="str"/>
      <x:c r="B3" s="14" t="str"/>
      <x:c r="C3" s="14" t="str"/>
      <x:c r="D3" s="14" t="str"/>
      <x:c r="E3" s="14" t="str"/>
      <x:c r="F3" s="14" t="str"/>
      <x:c r="G3" s="14" t="str"/>
      <x:c r="H3" s="15" t="str"/>
    </x:row>
    <x:row r="4">
      <x:c r="A4" s="13" t="n"/>
      <x:c r="B4" s="14" t="n"/>
      <x:c r="C4" s="14" t="n"/>
      <x:c r="D4" s="14" t="n"/>
      <x:c r="E4" s="14" t="n"/>
      <x:c r="F4" s="14" t="n"/>
      <x:c r="G4" s="14" t="n"/>
      <x:c r="H4" s="15" t="n"/>
    </x:row>
    <x:row r="5">
      <x:c r="A5" s="114" t="inlineStr">
        <x:is>
          <x:t xml:space="preserve">Convencion</x:t>
        </x:is>
      </x:c>
      <x:c r="B5" s="115" t="inlineStr">
        <x:is>
          <x:t xml:space="preserve">Valor</x:t>
        </x:is>
      </x:c>
      <x:c r="C5" s="115" t="str"/>
      <x:c r="D5" s="115" t="inlineStr">
        <x:is>
          <x:t xml:space="preserve">Output clave</x:t>
        </x:is>
      </x:c>
      <x:c r="E5" s="115" t="inlineStr">
        <x:is>
          <x:t xml:space="preserve">Valor</x:t>
        </x:is>
      </x:c>
      <x:c r="F5" s="115" t="inlineStr">
        <x:is>
          <x:t xml:space="preserve">Notas</x:t>
        </x:is>
      </x:c>
      <x:c r="G5" s="14" t="n"/>
      <x:c r="H5" s="15" t="n"/>
    </x:row>
    <x:row r="6">
      <x:c r="A6" s="13" t="inlineStr">
        <x:is>
          <x:t xml:space="preserve">Documento</x:t>
        </x:is>
      </x:c>
      <x:c r="B6" s="14" t="str">
        <x:v>Modelo financiero BP 26/30</x:v>
      </x:c>
      <x:c r="C6" s="14" t="str"/>
      <x:c r="D6" s="154" t="inlineStr">
        <x:is>
          <x:t xml:space="preserve">Ingresos 2030</x:t>
        </x:is>
      </x:c>
      <x:c r="E6" s="154" t="n">
        <x:f>'02_Detalle_Ingresos'!E42</x:f>
        <x:v>192.02824003333333</x:v>
      </x:c>
      <x:c r="F6" s="154" t="str">
        <x:v>Desde 02_Detalle_Ingresos</x:v>
      </x:c>
      <x:c r="G6" s="14" t="n"/>
      <x:c r="H6" s="15" t="n"/>
    </x:row>
    <x:row r="7">
      <x:c r="A7" s="13" t="inlineStr">
        <x:is>
          <x:t xml:space="preserve">Fecha</x:t>
        </x:is>
      </x:c>
      <x:c r="B7" s="14" t="inlineStr">
        <x:is>
          <x:t xml:space="preserve">2026-07-16</x:t>
        </x:is>
      </x:c>
      <x:c r="C7" s="14" t="str"/>
      <x:c r="D7" s="154" t="inlineStr">
        <x:is>
          <x:t xml:space="preserve">EBITDA 2030</x:t>
        </x:is>
      </x:c>
      <x:c r="E7" s="154" t="n">
        <x:f>'06_Cuenta_Resultados'!E22</x:f>
        <x:v>107.87732321560401</x:v>
      </x:c>
      <x:c r="F7" s="154" t="inlineStr">
        <x:is>
          <x:t xml:space="preserve">Desde 06_Cuenta_Resultados</x:t>
        </x:is>
      </x:c>
      <x:c r="G7" s="14" t="n"/>
      <x:c r="H7" s="15" t="n"/>
    </x:row>
    <x:row r="8">
      <x:c r="A8" s="13" t="inlineStr">
        <x:is>
          <x:t xml:space="preserve">Moneda</x:t>
        </x:is>
      </x:c>
      <x:c r="B8" s="14" t="inlineStr">
        <x:is>
          <x:t xml:space="preserve">EUR M salvo indicacion</x:t>
        </x:is>
      </x:c>
      <x:c r="C8" s="14" t="str"/>
      <x:c r="D8" s="154" t="inlineStr">
        <x:is>
          <x:t xml:space="preserve">Resultado neto 2030</x:t>
        </x:is>
      </x:c>
      <x:c r="E8" s="154" t="n">
        <x:f>'06_Cuenta_Resultados'!E29</x:f>
        <x:v>79.74549241170301</x:v>
      </x:c>
      <x:c r="F8" s="154" t="inlineStr">
        <x:is>
          <x:t xml:space="preserve">Despues de amortizacion, financiero e impuestos</x:t>
        </x:is>
      </x:c>
      <x:c r="G8" s="14" t="n"/>
      <x:c r="H8" s="15" t="n"/>
    </x:row>
    <x:row r="9">
      <x:c r="A9" s="13" t="inlineStr">
        <x:is>
          <x:t xml:space="preserve">Eje temporal</x:t>
        </x:is>
      </x:c>
      <x:c r="B9" s="14" t="inlineStr">
        <x:is>
          <x:t xml:space="preserve">2026/27 + 2028-2030</x:t>
        </x:is>
      </x:c>
      <x:c r="C9" s="14" t="str"/>
      <x:c r="D9" s="154" t="inlineStr">
        <x:is>
          <x:t xml:space="preserve">Margen EBITDA 2030</x:t>
        </x:is>
      </x:c>
      <x:c r="E9" s="155" t="n">
        <x:f>'06_Cuenta_Resultados'!E23</x:f>
        <x:v>0.5617784300729833</x:v>
      </x:c>
      <x:c r="F9" s="154" t="inlineStr">
        <x:is>
          <x:t xml:space="preserve">EBITDA / ingresos</x:t>
        </x:is>
      </x:c>
      <x:c r="G9" s="14" t="n"/>
      <x:c r="H9" s="15" t="n"/>
    </x:row>
    <x:row r="10">
      <x:c r="A10" s="13" t="inlineStr">
        <x:is>
          <x:t xml:space="preserve">Escenario</x:t>
        </x:is>
      </x:c>
      <x:c r="B10" s="14" t="inlineStr">
        <x:is>
          <x:t xml:space="preserve">Management / Scale revisado</x:t>
        </x:is>
      </x:c>
      <x:c r="C10" s="14" t="str"/>
      <x:c r="D10" s="154" t="inlineStr">
        <x:is>
          <x:t xml:space="preserve">m2 objetivo acumulado</x:t>
        </x:is>
      </x:c>
      <x:c r="E10" s="156" t="n">
        <x:f>'01_Supuestos'!B5</x:f>
        <x:v>6511000</x:v>
      </x:c>
      <x:c r="F10" s="154" t="str">
        <x:v>Curva operativa de escala 2026/27-2030.</x:v>
      </x:c>
      <x:c r="G10" s="14" t="n"/>
      <x:c r="H10" s="15" t="n"/>
    </x:row>
    <x:row r="11">
      <x:c r="A11" s="13" t="inlineStr">
        <x:is>
          <x:t xml:space="preserve">Modelo</x:t>
        </x:is>
      </x:c>
      <x:c r="B11" s="14" t="str">
        <x:v>Plan operativo 26/30</x:v>
      </x:c>
      <x:c r="C11" s="14" t="str"/>
      <x:c r="D11" s="154" t="inlineStr">
        <x:is>
          <x:t xml:space="preserve">Estado modelo</x:t>
        </x:is>
      </x:c>
      <x:c r="E11" s="154" t="str">
        <x:f>'08_Control'!E17</x:f>
        <x:v>OK</x:v>
      </x:c>
      <x:c r="F11" s="154" t="str">
        <x:v>Desde 08_Control</x:v>
      </x:c>
      <x:c r="G11" s="14" t="n"/>
      <x:c r="H11" s="15" t="n"/>
    </x:row>
    <x:row r="12">
      <x:c r="A12" s="13" t="str"/>
      <x:c r="B12" s="14" t="str"/>
      <x:c r="C12" s="14" t="str"/>
      <x:c r="D12" s="154" t="str"/>
      <x:c r="E12" s="154" t="str"/>
      <x:c r="F12" s="154" t="str"/>
      <x:c r="G12" s="14" t="n"/>
      <x:c r="H12" s="15" t="n"/>
    </x:row>
    <x:row r="13">
      <x:c r="A13" s="13" t="inlineStr">
        <x:is>
          <x:t xml:space="preserve">Lectura</x:t>
        </x:is>
      </x:c>
      <x:c r="B13" s="14" t="inlineStr">
        <x:is>
          <x:t xml:space="preserve">El tramo 2026/27 agrupa lanzamiento y validacion comercial; 2028-2030 escalan red, producto y recurrencia.</x:t>
        </x:is>
      </x:c>
      <x:c r="C13" s="14" t="str"/>
      <x:c r="D13" s="14" t="str"/>
      <x:c r="E13" s="14" t="str"/>
      <x:c r="F13" s="14" t="str"/>
      <x:c r="G13" s="14" t="n"/>
      <x:c r="H13" s="15" t="n"/>
    </x:row>
    <x:row r="14">
      <x:c r="A14" s="13" t="n"/>
      <x:c r="B14" s="14" t="n"/>
      <x:c r="C14" s="14" t="n"/>
      <x:c r="D14" s="14" t="n"/>
      <x:c r="E14" s="14" t="n"/>
      <x:c r="F14" s="14" t="n"/>
      <x:c r="G14" s="14" t="n"/>
      <x:c r="H14" s="15" t="n"/>
    </x:row>
    <x:row r="15">
      <x:c r="A15" s="116" t="str">
        <x:v>Contenido del modelo financiero externo</x:v>
      </x:c>
      <x:c r="B15" s="117"/>
      <x:c r="C15" s="117"/>
      <x:c r="D15" s="117"/>
      <x:c r="E15" s="117"/>
      <x:c r="F15" s="117"/>
      <x:c r="G15" s="117" t="str"/>
      <x:c r="H15" s="118" t="str"/>
    </x:row>
    <x:row r="16">
      <x:c r="A16" s="13" t="inlineStr">
        <x:is>
          <x:t xml:space="preserve">1</x:t>
        </x:is>
      </x:c>
      <x:c r="B16" s="14" t="inlineStr">
        <x:is>
          <x:t xml:space="preserve">Hojas, etiquetas y navegacion en castellano.</x:t>
        </x:is>
      </x:c>
      <x:c r="C16" s="14" t="str"/>
      <x:c r="D16" s="14" t="str"/>
      <x:c r="E16" s="14" t="str"/>
      <x:c r="F16" s="14" t="str"/>
      <x:c r="G16" s="14" t="str"/>
      <x:c r="H16" s="15" t="str"/>
    </x:row>
    <x:row r="17">
      <x:c r="A17" s="13" t="inlineStr">
        <x:is>
          <x:t xml:space="preserve">2</x:t>
        </x:is>
      </x:c>
      <x:c r="B17" s="14" t="inlineStr">
        <x:is>
          <x:t xml:space="preserve">Cuenta de resultados completa: ingresos, margen bruto, OPEX, EBITDA, amortizacion, resultado financiero, impuestos y resultado neto.</x:t>
        </x:is>
      </x:c>
      <x:c r="C17" s="14" t="str"/>
      <x:c r="D17" s="14" t="str"/>
      <x:c r="E17" s="14" t="str"/>
      <x:c r="F17" s="14" t="str"/>
      <x:c r="G17" s="14" t="str"/>
      <x:c r="H17" s="15" t="str"/>
    </x:row>
    <x:row r="18">
      <x:c r="A18" s="13" t="inlineStr">
        <x:is>
          <x:t xml:space="preserve">3</x:t>
        </x:is>
      </x:c>
      <x:c r="B18" s="14" t="inlineStr">
        <x:is>
          <x:t xml:space="preserve">OPEX operativo desarrollado por driver: plataforma, IA/API, ciberseguridad, kits de campo, QA, soporte, GTM, legal, finanzas y reserva.</x:t>
        </x:is>
      </x:c>
      <x:c r="C18" s="14" t="str"/>
      <x:c r="D18" s="14" t="str"/>
      <x:c r="E18" s="14" t="str"/>
      <x:c r="F18" s="14" t="str"/>
      <x:c r="G18" s="14" t="str"/>
      <x:c r="H18" s="15" t="str"/>
    </x:row>
    <x:row r="19">
      <x:c r="A19" s="13" t="inlineStr">
        <x:is>
          <x:t xml:space="preserve">4</x:t>
        </x:is>
      </x:c>
      <x:c r="B19" s="14" t="inlineStr">
        <x:is>
          <x:t xml:space="preserve">Detalle de personal por departamento, perfil, sueldo base, FTE, incremento salarial y coste empresa/Seguridad Social.</x:t>
        </x:is>
      </x:c>
      <x:c r="C19" s="14" t="str"/>
      <x:c r="D19" s="14" t="str"/>
      <x:c r="E19" s="14" t="str"/>
      <x:c r="F19" s="14" t="str"/>
      <x:c r="G19" s="14" t="str"/>
      <x:c r="H19" s="15" t="str"/>
    </x:row>
    <x:row r="20">
      <x:c r="A20" s="13" t="inlineStr">
        <x:is>
          <x:t xml:space="preserve">5</x:t>
        </x:is>
      </x:c>
      <x:c r="B20" s="14" t="inlineStr">
        <x:is>
          <x:t xml:space="preserve">Detalle de ingresos por digitalizacion, fees de red, POI, DPP, recurrencia, datos, marketplace, iPath, Moolde, internacional y capa financiera.</x:t>
        </x:is>
      </x:c>
      <x:c r="C20" s="14" t="str"/>
      <x:c r="D20" s="14" t="str"/>
      <x:c r="E20" s="14" t="str"/>
      <x:c r="F20" s="14" t="str"/>
      <x:c r="G20" s="14" t="str"/>
      <x:c r="H20" s="15" t="str"/>
    </x:row>
    <x:row r="21">
      <x:c r="A21" s="13" t="inlineStr">
        <x:is>
          <x:t xml:space="preserve">6</x:t>
        </x:is>
      </x:c>
      <x:c r="B21" s="14" t="inlineStr">
        <x:is>
          <x:t xml:space="preserve">Controles de coherencia con estado OK/REVISAR/FALLO, incluyendo conciliación de coste empresa y Seguridad Social.</x:t>
        </x:is>
      </x:c>
      <x:c r="C21" s="14" t="str"/>
      <x:c r="D21" s="14" t="str"/>
      <x:c r="E21" s="14" t="str"/>
      <x:c r="F21" s="14" t="str"/>
      <x:c r="G21" s="14" t="str"/>
      <x:c r="H21" s="15" t="str"/>
    </x:row>
    <x:row r="22">
      <x:c r="A22" s="13" t="inlineStr">
        <x:is>
          <x:t xml:space="preserve">7</x:t>
        </x:is>
      </x:c>
      <x:c r="B22" s="14" t="inlineStr">
        <x:is>
          <x:t xml:space="preserve">Hoja de paquetes de producto para conectar producto, drivers economicos y entregables.</x:t>
        </x:is>
      </x:c>
      <x:c r="C22" s="14" t="str"/>
      <x:c r="D22" s="14" t="str"/>
      <x:c r="E22" s="14" t="str"/>
      <x:c r="F22" s="14" t="str"/>
      <x:c r="G22" s="14" t="str"/>
      <x:c r="H22" s="15" t="str"/>
    </x:row>
    <x:row r="23">
      <x:c r="A23" s="13" t="str">
        <x:v>8</x:v>
      </x:c>
      <x:c r="B23" s="14" t="str">
        <x:v>Hoja separada de activos plan 26/27: entregables, evidencias, gates y conexión con el BP operativo.</x:v>
      </x:c>
      <x:c r="C23" s="14"/>
      <x:c r="D23" s="14"/>
      <x:c r="E23" s="14"/>
      <x:c r="F23" s="14"/>
      <x:c r="G23" s="14" t="str"/>
      <x:c r="H23" s="15" t="str"/>
    </x:row>
    <x:row r="24">
      <x:c r="A24" s="217" t="str">
        <x:v>Confidencialidad</x:v>
      </x:c>
      <x:c r="B24" s="217" t="str">
        <x:v>Documento confidencial. Uso limitado a evaluación del modelo de negocio y BP CUEVA. No distribuir ni reproducir sin autorización expresa.</x:v>
      </x:c>
      <x:c r="C24" s="217"/>
      <x:c r="D24" s="217"/>
      <x:c r="E24" s="217"/>
      <x:c r="F24" s="217"/>
      <x:c r="G24" s="14" t="str"/>
      <x:c r="H24" s="15" t="str"/>
    </x:row>
    <x:row r="25">
      <x:c r="A25" s="13" t="str">
        <x:v>Principio</x:v>
      </x:c>
      <x:c r="B25" s="14" t="str">
        <x:v>Todo lo azul es input editable; todo lo verde es fórmula o enlace de modelo.</x:v>
      </x:c>
      <x:c r="C25" s="14"/>
      <x:c r="D25" s="14"/>
      <x:c r="E25" s="14"/>
      <x:c r="F25" s="14"/>
      <x:c r="G25" s="14" t="str"/>
      <x:c r="H25" s="15" t="str"/>
    </x:row>
    <x:row r="26">
      <x:c r="A26" s="13" t="n"/>
      <x:c r="B26" s="14" t="n"/>
      <x:c r="C26" s="14" t="n"/>
      <x:c r="D26" s="14" t="n"/>
      <x:c r="E26" s="14" t="n"/>
      <x:c r="F26" s="14" t="n"/>
      <x:c r="G26" s="14" t="n"/>
      <x:c r="H26" s="15" t="n"/>
    </x:row>
    <x:row r="27">
      <x:c r="A27" s="13" t="n"/>
      <x:c r="B27" s="14" t="n"/>
      <x:c r="C27" s="14" t="n"/>
      <x:c r="D27" s="14" t="n"/>
      <x:c r="E27" s="14" t="n"/>
      <x:c r="F27" s="14" t="n"/>
      <x:c r="G27" s="14" t="n"/>
      <x:c r="H27" s="15" t="n"/>
    </x:row>
    <x:row r="28">
      <x:c r="A28" s="13" t="n"/>
      <x:c r="B28" s="14" t="n"/>
      <x:c r="C28" s="14" t="n"/>
      <x:c r="D28" s="14" t="n"/>
      <x:c r="E28" s="14" t="n"/>
      <x:c r="F28" s="14" t="n"/>
      <x:c r="G28" s="14" t="n"/>
      <x:c r="H28" s="15" t="n"/>
    </x:row>
    <x:row r="29">
      <x:c r="A29" s="13" t="n"/>
      <x:c r="B29" s="14" t="n"/>
      <x:c r="C29" s="14" t="n"/>
      <x:c r="D29" s="14" t="n"/>
      <x:c r="E29" s="14" t="n"/>
      <x:c r="F29" s="14" t="n"/>
      <x:c r="G29" s="14" t="n"/>
      <x:c r="H29" s="15" t="n"/>
    </x:row>
    <x:row r="30">
      <x:c r="A30" s="13" t="n"/>
      <x:c r="B30" s="14" t="n"/>
      <x:c r="C30" s="14" t="n"/>
      <x:c r="D30" s="14" t="n"/>
      <x:c r="E30" s="14" t="n"/>
      <x:c r="F30" s="14" t="n"/>
      <x:c r="G30" s="14" t="n"/>
      <x:c r="H30" s="15" t="n"/>
    </x:row>
    <x:row r="31">
      <x:c r="A31" s="13" t="n"/>
      <x:c r="B31" s="14" t="n"/>
      <x:c r="C31" s="14" t="n"/>
      <x:c r="D31" s="14" t="n"/>
      <x:c r="E31" s="14" t="n"/>
      <x:c r="F31" s="14" t="n"/>
      <x:c r="G31" s="14" t="n"/>
      <x:c r="H31" s="15" t="n"/>
    </x:row>
    <x:row r="32">
      <x:c r="A32" s="13" t="n"/>
      <x:c r="B32" s="14" t="n"/>
      <x:c r="C32" s="14" t="n"/>
      <x:c r="D32" s="14" t="n"/>
      <x:c r="E32" s="14" t="n"/>
      <x:c r="F32" s="14" t="n"/>
      <x:c r="G32" s="14" t="n"/>
      <x:c r="H32" s="15" t="n"/>
    </x:row>
    <x:row r="33">
      <x:c r="A33" s="13" t="n"/>
      <x:c r="B33" s="14" t="n"/>
      <x:c r="C33" s="14" t="n"/>
      <x:c r="D33" s="14" t="n"/>
      <x:c r="E33" s="14" t="n"/>
      <x:c r="F33" s="14" t="n"/>
      <x:c r="G33" s="14" t="n"/>
      <x:c r="H33" s="15" t="n"/>
    </x:row>
    <x:row r="34">
      <x:c r="A34" s="13" t="n"/>
      <x:c r="B34" s="14" t="n"/>
      <x:c r="C34" s="14" t="n"/>
      <x:c r="D34" s="14" t="n"/>
      <x:c r="E34" s="14" t="n"/>
      <x:c r="F34" s="14" t="n"/>
      <x:c r="G34" s="14" t="n"/>
      <x:c r="H34" s="15" t="n"/>
    </x:row>
    <x:row r="35">
      <x:c r="A35" s="13" t="n"/>
      <x:c r="B35" s="14" t="n"/>
      <x:c r="C35" s="14" t="n"/>
      <x:c r="D35" s="14" t="n"/>
      <x:c r="E35" s="14" t="n"/>
      <x:c r="F35" s="14" t="n"/>
      <x:c r="G35" s="14" t="n"/>
      <x:c r="H35" s="15" t="n"/>
    </x:row>
    <x:row r="36">
      <x:c r="A36" s="13" t="n"/>
      <x:c r="B36" s="14" t="n"/>
      <x:c r="C36" s="14" t="n"/>
      <x:c r="D36" s="14" t="n"/>
      <x:c r="E36" s="14" t="n"/>
      <x:c r="F36" s="14" t="n"/>
      <x:c r="G36" s="14" t="n"/>
      <x:c r="H36" s="15" t="n"/>
    </x:row>
    <x:row r="37">
      <x:c r="A37" s="13" t="n"/>
      <x:c r="B37" s="14" t="n"/>
      <x:c r="C37" s="14" t="n"/>
      <x:c r="D37" s="14" t="n"/>
      <x:c r="E37" s="14" t="n"/>
      <x:c r="F37" s="14" t="n"/>
      <x:c r="G37" s="14" t="n"/>
      <x:c r="H37" s="15" t="n"/>
    </x:row>
    <x:row r="38">
      <x:c r="A38" s="13" t="n"/>
      <x:c r="B38" s="14" t="n"/>
      <x:c r="C38" s="14" t="n"/>
      <x:c r="D38" s="14" t="n"/>
      <x:c r="E38" s="14" t="n"/>
      <x:c r="F38" s="14" t="n"/>
      <x:c r="G38" s="14" t="n"/>
      <x:c r="H38" s="15" t="n"/>
    </x:row>
    <x:row r="39">
      <x:c r="A39" s="13" t="n"/>
      <x:c r="B39" s="14" t="n"/>
      <x:c r="C39" s="14" t="n"/>
      <x:c r="D39" s="14" t="n"/>
      <x:c r="E39" s="14" t="n"/>
      <x:c r="F39" s="14" t="n"/>
      <x:c r="G39" s="14" t="n"/>
      <x:c r="H39" s="15" t="n"/>
    </x:row>
    <x:row r="40">
      <x:c r="A40" s="13" t="n"/>
      <x:c r="B40" s="14" t="n"/>
      <x:c r="C40" s="14" t="n"/>
      <x:c r="D40" s="14" t="n"/>
      <x:c r="E40" s="14" t="n"/>
      <x:c r="F40" s="14" t="n"/>
      <x:c r="G40" s="14" t="n"/>
      <x:c r="H40" s="15" t="n"/>
    </x:row>
    <x:row r="41">
      <x:c r="A41" s="13" t="n"/>
      <x:c r="B41" s="14" t="n"/>
      <x:c r="C41" s="14" t="n"/>
      <x:c r="D41" s="14" t="n"/>
      <x:c r="E41" s="14" t="n"/>
      <x:c r="F41" s="14" t="n"/>
      <x:c r="G41" s="14" t="n"/>
      <x:c r="H41" s="15" t="n"/>
    </x:row>
    <x:row r="42">
      <x:c r="A42" s="13" t="n"/>
      <x:c r="B42" s="14" t="n"/>
      <x:c r="C42" s="14" t="n"/>
      <x:c r="D42" s="14" t="n"/>
      <x:c r="E42" s="14" t="n"/>
      <x:c r="F42" s="14" t="n"/>
      <x:c r="G42" s="14" t="n"/>
      <x:c r="H42" s="15" t="n"/>
    </x:row>
    <x:row r="43">
      <x:c r="A43" s="13" t="n"/>
      <x:c r="B43" s="14" t="n"/>
      <x:c r="C43" s="14" t="n"/>
      <x:c r="D43" s="14" t="n"/>
      <x:c r="E43" s="14" t="n"/>
      <x:c r="F43" s="14" t="n"/>
      <x:c r="G43" s="14" t="n"/>
      <x:c r="H43" s="15" t="n"/>
    </x:row>
    <x:row r="44">
      <x:c r="A44" s="13" t="n"/>
      <x:c r="B44" s="14" t="n"/>
      <x:c r="C44" s="14" t="n"/>
      <x:c r="D44" s="14" t="n"/>
      <x:c r="E44" s="14" t="n"/>
      <x:c r="F44" s="14" t="n"/>
      <x:c r="G44" s="14" t="n"/>
      <x:c r="H44" s="15" t="n"/>
    </x:row>
    <x:row r="45">
      <x:c r="A45" s="13" t="n"/>
      <x:c r="B45" s="14" t="n"/>
      <x:c r="C45" s="14" t="n"/>
      <x:c r="D45" s="14" t="n"/>
      <x:c r="E45" s="14" t="n"/>
      <x:c r="F45" s="14" t="n"/>
      <x:c r="G45" s="14" t="n"/>
      <x:c r="H45" s="15" t="n"/>
    </x:row>
    <x:row r="46">
      <x:c r="A46" s="13" t="n"/>
      <x:c r="B46" s="14" t="n"/>
      <x:c r="C46" s="14" t="n"/>
      <x:c r="D46" s="14" t="n"/>
      <x:c r="E46" s="14" t="n"/>
      <x:c r="F46" s="14" t="n"/>
      <x:c r="G46" s="14" t="n"/>
      <x:c r="H46" s="15" t="n"/>
    </x:row>
    <x:row r="47">
      <x:c r="A47" s="13" t="n"/>
      <x:c r="B47" s="14" t="n"/>
      <x:c r="C47" s="14" t="n"/>
      <x:c r="D47" s="14" t="n"/>
      <x:c r="E47" s="14" t="n"/>
      <x:c r="F47" s="14" t="n"/>
      <x:c r="G47" s="14" t="n"/>
      <x:c r="H47" s="15" t="n"/>
    </x:row>
    <x:row r="48">
      <x:c r="A48" s="13" t="n"/>
      <x:c r="B48" s="14" t="n"/>
      <x:c r="C48" s="14" t="n"/>
      <x:c r="D48" s="14" t="n"/>
      <x:c r="E48" s="14" t="n"/>
      <x:c r="F48" s="14" t="n"/>
      <x:c r="G48" s="14" t="n"/>
      <x:c r="H48" s="15" t="n"/>
    </x:row>
    <x:row r="49">
      <x:c r="A49" s="13" t="n"/>
      <x:c r="B49" s="14" t="n"/>
      <x:c r="C49" s="14" t="n"/>
      <x:c r="D49" s="14" t="n"/>
      <x:c r="E49" s="14" t="n"/>
      <x:c r="F49" s="14" t="n"/>
      <x:c r="G49" s="14" t="n"/>
      <x:c r="H49" s="15" t="n"/>
    </x:row>
    <x:row r="50">
      <x:c r="A50" s="13" t="n"/>
      <x:c r="B50" s="14" t="n"/>
      <x:c r="C50" s="14" t="n"/>
      <x:c r="D50" s="14" t="n"/>
      <x:c r="E50" s="14" t="n"/>
      <x:c r="F50" s="14" t="n"/>
      <x:c r="G50" s="14" t="n"/>
      <x:c r="H50" s="15" t="n"/>
    </x:row>
    <x:row r="51">
      <x:c r="A51" s="13" t="n"/>
      <x:c r="B51" s="14" t="n"/>
      <x:c r="C51" s="14" t="n"/>
      <x:c r="D51" s="14" t="n"/>
      <x:c r="E51" s="14" t="n"/>
      <x:c r="F51" s="14" t="n"/>
      <x:c r="G51" s="14" t="n"/>
      <x:c r="H51" s="15" t="n"/>
    </x:row>
    <x:row r="52">
      <x:c r="A52" s="16" t="n"/>
      <x:c r="B52" s="17" t="n"/>
      <x:c r="C52" s="17" t="n"/>
      <x:c r="D52" s="17" t="n"/>
      <x:c r="E52" s="17" t="n"/>
      <x:c r="F52" s="17" t="n"/>
      <x:c r="G52" s="17" t="n"/>
      <x:c r="H52" s="18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4" customWidth="1"/>
    <x:col min="3" max="3" width="14" customWidth="1"/>
    <x:col min="4" max="4" width="14" customWidth="1"/>
    <x:col min="5" max="5" width="14" customWidth="1"/>
    <x:col min="6" max="6" width="72" customWidth="1"/>
    <x:col min="7" max="7" width="38" customWidth="1"/>
    <x:col min="8" max="8" width="38" customWidth="1"/>
  </x:cols>
  <x:sheetData>
    <x:row r="1">
      <x:c r="A1" s="107" t="inlineStr">
        <x:is>
          <x:t xml:space="preserve">01 Supuestos</x:t>
        </x:is>
      </x:c>
      <x:c r="B1" s="108" t="str"/>
      <x:c r="C1" s="108" t="str"/>
      <x:c r="D1" s="108" t="str"/>
      <x:c r="E1" s="108" t="str"/>
      <x:c r="F1" s="109" t="str"/>
      <x:c r="G1" s="119" t="n"/>
      <x:c r="H1" s="120" t="n"/>
    </x:row>
    <x:row r="2">
      <x:c r="A2" s="111" t="str">
        <x:v>Inputs editables en azul. La curva base mantiene crecimiento no lineal y el tramo 2026/27 queda integrado como primer bloque operativo del plan.</x:v>
      </x:c>
      <x:c r="B2" s="112"/>
      <x:c r="C2" s="112"/>
      <x:c r="D2" s="112"/>
      <x:c r="E2" s="112"/>
      <x:c r="F2" s="112"/>
      <x:c r="G2" s="121" t="n"/>
      <x:c r="H2" s="122" t="n"/>
    </x:row>
    <x:row r="3">
      <x:c r="A3" s="13" t="str"/>
      <x:c r="B3" s="14" t="str"/>
      <x:c r="C3" s="14" t="str"/>
      <x:c r="D3" s="14" t="str"/>
      <x:c r="E3" s="14" t="str"/>
      <x:c r="F3" s="14" t="str"/>
      <x:c r="G3" s="121" t="n"/>
      <x:c r="H3" s="122" t="n"/>
    </x:row>
    <x:row r="4">
      <x:c r="A4" s="116" t="inlineStr">
        <x:is>
          <x:t xml:space="preserve">Control de m2 y escala</x:t>
        </x:is>
      </x:c>
      <x:c r="B4" s="117" t="str"/>
      <x:c r="C4" s="117" t="str"/>
      <x:c r="D4" s="117" t="str"/>
      <x:c r="E4" s="117" t="str"/>
      <x:c r="F4" s="117" t="str"/>
      <x:c r="G4" s="121" t="n"/>
      <x:c r="H4" s="122" t="n"/>
    </x:row>
    <x:row r="5">
      <x:c r="A5" s="13" t="inlineStr">
        <x:is>
          <x:t xml:space="preserve">Total m2 objetivo plan</x:t>
        </x:is>
      </x:c>
      <x:c r="B5" s="157" t="n">
        <x:f>SUM(B7:E7)</x:f>
        <x:v>6511000</x:v>
      </x:c>
      <x:c r="C5" s="157" t="str"/>
      <x:c r="D5" s="157" t="str"/>
      <x:c r="E5" s="157" t="str"/>
      <x:c r="F5" s="14" t="inlineStr">
        <x:is>
          <x:t xml:space="preserve">Total derivado de la curva base original. Si se modifica B7:E7 recalcula el total.</x:t>
        </x:is>
      </x:c>
      <x:c r="G5" s="121" t="n"/>
      <x:c r="H5" s="122" t="n"/>
    </x:row>
    <x:row r="6">
      <x:c r="A6" s="13" t="inlineStr">
        <x:is>
          <x:t xml:space="preserve">m2 tramo 2026/27</x:t>
        </x:is>
      </x:c>
      <x:c r="B6" s="158" t="n">
        <x:v>300000</x:v>
      </x:c>
      <x:c r="C6" s="158" t="str"/>
      <x:c r="D6" s="158" t="str"/>
      <x:c r="E6" s="158" t="str"/>
      <x:c r="F6" s="14" t="str">
        <x:v>Volumen operativo inicial del tramo unificado 2026/27.</x:v>
      </x:c>
      <x:c r="G6" s="121" t="n"/>
      <x:c r="H6" s="122" t="n"/>
    </x:row>
    <x:row r="7">
      <x:c r="A7" s="13" t="inlineStr">
        <x:is>
          <x:t xml:space="preserve">m2 base original antes de ajuste</x:t>
        </x:is>
      </x:c>
      <x:c r="B7" s="158" t="n">
        <x:v>586000</x:v>
      </x:c>
      <x:c r="C7" s="158" t="n">
        <x:v>1065000</x:v>
      </x:c>
      <x:c r="D7" s="158" t="n">
        <x:v>1920000</x:v>
      </x:c>
      <x:c r="E7" s="158" t="n">
        <x:v>2940000</x:v>
      </x:c>
      <x:c r="F7" s="14" t="str">
        <x:v>Curva base original: 2026+2027, 2028, 2029 y 2030. Mantiene crecimiento no lineal.</x:v>
      </x:c>
      <x:c r="G7" s="121" t="n"/>
      <x:c r="H7" s="122" t="n"/>
    </x:row>
    <x:row r="8">
      <x:c r="A8" s="13" t="inlineStr">
        <x:is>
          <x:t xml:space="preserve">m2 emitidos</x:t>
        </x:is>
      </x:c>
      <x:c r="B8" s="157" t="n">
        <x:f>$B$6</x:f>
        <x:v>300000</x:v>
      </x:c>
      <x:c r="C8" s="157" t="n">
        <x:f>C7+MAX(0,$B$7-$B$6)/3</x:f>
        <x:v>1160333.3333333333</x:v>
      </x:c>
      <x:c r="D8" s="157" t="n">
        <x:f>D7+MAX(0,$B$7-$B$6)/3</x:f>
        <x:v>2015333.3333333333</x:v>
      </x:c>
      <x:c r="E8" s="157" t="n">
        <x:f>E7+MAX(0,$B$7-$B$6)/3</x:f>
        <x:v>3035333.3333333335</x:v>
      </x:c>
      <x:c r="F8" s="14" t="str">
        <x:v>B = tramo inicial 2026/27; C/D/E = curva de crecimiento ajustada.</x:v>
      </x:c>
      <x:c r="G8" s="121" t="n"/>
      <x:c r="H8" s="122" t="n"/>
    </x:row>
    <x:row r="9">
      <x:c r="A9" s="13" t="inlineStr">
        <x:is>
          <x:t xml:space="preserve">Stock vivo</x:t>
        </x:is>
      </x:c>
      <x:c r="B9" s="157" t="n">
        <x:f>B8</x:f>
        <x:v>300000</x:v>
      </x:c>
      <x:c r="C9" s="157" t="n">
        <x:f>B9+C8</x:f>
        <x:v>1460333.3333333333</x:v>
      </x:c>
      <x:c r="D9" s="157" t="n">
        <x:f>C9+D8</x:f>
        <x:v>3475666.6666666665</x:v>
      </x:c>
      <x:c r="E9" s="157" t="n">
        <x:f>D9+E8</x:f>
        <x:v>6511000</x:v>
      </x:c>
      <x:c r="F9" s="14" t="inlineStr">
        <x:is>
          <x:t xml:space="preserve">Acumulado de m2 emitidos.</x:t>
        </x:is>
      </x:c>
      <x:c r="G9" s="121" t="n"/>
      <x:c r="H9" s="122" t="n"/>
    </x:row>
    <x:row r="10">
      <x:c r="A10" s="13" t="inlineStr">
        <x:is>
          <x:t xml:space="preserve">Partners activos</x:t>
        </x:is>
      </x:c>
      <x:c r="B10" s="158" t="n">
        <x:v>5</x:v>
      </x:c>
      <x:c r="C10" s="158" t="n">
        <x:v>11</x:v>
      </x:c>
      <x:c r="D10" s="158" t="n">
        <x:v>17</x:v>
      </x:c>
      <x:c r="E10" s="158" t="n">
        <x:v>23</x:v>
      </x:c>
      <x:c r="F10" s="14" t="inlineStr">
        <x:is>
          <x:t xml:space="preserve">Escala comercial por periodo.</x:t>
        </x:is>
      </x:c>
      <x:c r="G10" s="121" t="n"/>
      <x:c r="H10" s="122" t="n"/>
    </x:row>
    <x:row r="11">
      <x:c r="A11" s="13" t="inlineStr">
        <x:is>
          <x:t xml:space="preserve">Sobrante 2026/27 redistribuido</x:t>
        </x:is>
      </x:c>
      <x:c r="B11" s="157" t="n">
        <x:f>MAX(0,$B$7-$B$6)</x:f>
        <x:v>286000</x:v>
      </x:c>
      <x:c r="C11" s="157" t="n">
        <x:f>B11/3</x:f>
        <x:v>95333.33333333333</x:v>
      </x:c>
      <x:c r="D11" s="157" t="n">
        <x:f>B11/3</x:f>
        <x:v>95333.33333333333</x:v>
      </x:c>
      <x:c r="E11" s="157" t="n">
        <x:f>B11/3</x:f>
        <x:v>95333.33333333333</x:v>
      </x:c>
      <x:c r="F11" s="14" t="inlineStr">
        <x:is>
          <x:t xml:space="preserve">B = sobrante total; C/D/E = reparto igualitario sobre 2028-2030.</x:t>
        </x:is>
      </x:c>
      <x:c r="G11" s="121" t="n"/>
      <x:c r="H11" s="122" t="n"/>
    </x:row>
    <x:row r="12">
      <x:c r="A12" s="116" t="inlineStr">
        <x:is>
          <x:t xml:space="preserve">Unit economics, adopcion y verticales</x:t>
        </x:is>
      </x:c>
      <x:c r="B12" s="117" t="str"/>
      <x:c r="C12" s="117" t="str"/>
      <x:c r="D12" s="117" t="str"/>
      <x:c r="E12" s="117" t="str"/>
      <x:c r="F12" s="117" t="str"/>
      <x:c r="G12" s="121" t="n"/>
      <x:c r="H12" s="122" t="n"/>
    </x:row>
    <x:row r="13">
      <x:c r="A13" s="114" t="inlineStr">
        <x:is>
          <x:t xml:space="preserve">Concepto</x:t>
        </x:is>
      </x:c>
      <x:c r="B13" s="159" t="inlineStr">
        <x:is>
          <x:t xml:space="preserve">2026/27</x:t>
        </x:is>
      </x:c>
      <x:c r="C13" s="159" t="inlineStr">
        <x:is>
          <x:t xml:space="preserve">2028</x:t>
        </x:is>
      </x:c>
      <x:c r="D13" s="159" t="inlineStr">
        <x:is>
          <x:t xml:space="preserve">2029</x:t>
        </x:is>
      </x:c>
      <x:c r="E13" s="159" t="inlineStr">
        <x:is>
          <x:t xml:space="preserve">2030</x:t>
        </x:is>
      </x:c>
      <x:c r="F13" s="115" t="inlineStr">
        <x:is>
          <x:t xml:space="preserve">Notas / driver</x:t>
        </x:is>
      </x:c>
      <x:c r="G13" s="121" t="n"/>
      <x:c r="H13" s="122" t="n"/>
    </x:row>
    <x:row r="14">
      <x:c r="A14" s="13" t="inlineStr">
        <x:is>
          <x:t xml:space="preserve">Fee de Red Fabricante EUR/m2</x:t>
        </x:is>
      </x:c>
      <x:c r="B14" s="158" t="n">
        <x:v>2.5</x:v>
      </x:c>
      <x:c r="C14" s="158" t="n">
        <x:v>2.5</x:v>
      </x:c>
      <x:c r="D14" s="158" t="n">
        <x:v>2.5</x:v>
      </x:c>
      <x:c r="E14" s="158" t="n">
        <x:v>2.5</x:v>
      </x:c>
      <x:c r="F14" s="14" t="inlineStr">
        <x:is>
          <x:t xml:space="preserve">Servicio de red fabricante por m2 fabricado verificado.</x:t>
        </x:is>
      </x:c>
      <x:c r="G14" s="121" t="n"/>
      <x:c r="H14" s="122" t="n"/>
    </x:row>
    <x:row r="15">
      <x:c r="A15" s="13" t="inlineStr">
        <x:is>
          <x:t xml:space="preserve">Fee de Red Montaje EUR/m2</x:t>
        </x:is>
      </x:c>
      <x:c r="B15" s="158" t="n">
        <x:v>2.5</x:v>
      </x:c>
      <x:c r="C15" s="158" t="n">
        <x:v>2.5</x:v>
      </x:c>
      <x:c r="D15" s="158" t="n">
        <x:v>2.5</x:v>
      </x:c>
      <x:c r="E15" s="158" t="n">
        <x:v>2.5</x:v>
      </x:c>
      <x:c r="F15" s="14" t="inlineStr">
        <x:is>
          <x:t xml:space="preserve">Servicio de red montaje por m2 instalado/verificado.</x:t>
        </x:is>
      </x:c>
      <x:c r="G15" s="121" t="n"/>
      <x:c r="H15" s="122" t="n"/>
    </x:row>
    <x:row r="16">
      <x:c r="A16" s="13" t="inlineStr">
        <x:is>
          <x:t xml:space="preserve">Cobertura fee montaje</x:t>
        </x:is>
      </x:c>
      <x:c r="B16" s="160" t="n">
        <x:v>0.85</x:v>
      </x:c>
      <x:c r="C16" s="160" t="n">
        <x:v>0.9</x:v>
      </x:c>
      <x:c r="D16" s="160" t="n">
        <x:v>0.93</x:v>
      </x:c>
      <x:c r="E16" s="160" t="n">
        <x:v>0.95</x:v>
      </x:c>
      <x:c r="F16" s="14" t="inlineStr">
        <x:is>
          <x:t xml:space="preserve">Cobertura progresiva del trigger de montaje.</x:t>
        </x:is>
      </x:c>
      <x:c r="G16" s="121" t="n"/>
      <x:c r="H16" s="122" t="n"/>
    </x:row>
    <x:row r="17">
      <x:c r="A17" s="13" t="inlineStr">
        <x:is>
          <x:t xml:space="preserve">Precio Designer EUR/m2</x:t>
        </x:is>
      </x:c>
      <x:c r="B17" s="158" t="n">
        <x:v>3</x:v>
      </x:c>
      <x:c r="C17" s="158" t="n">
        <x:v>3.2</x:v>
      </x:c>
      <x:c r="D17" s="158" t="n">
        <x:v>3.3</x:v>
      </x:c>
      <x:c r="E17" s="158" t="n">
        <x:v>3.5</x:v>
      </x:c>
      <x:c r="F17" s="14" t="inlineStr">
        <x:is>
          <x:t xml:space="preserve">Precio por m2 emitido.</x:t>
        </x:is>
      </x:c>
      <x:c r="G17" s="121" t="n"/>
      <x:c r="H17" s="122" t="n"/>
    </x:row>
    <x:row r="18">
      <x:c r="A18" s="13" t="inlineStr">
        <x:is>
          <x:t xml:space="preserve">Adopcion Designer</x:t>
        </x:is>
      </x:c>
      <x:c r="B18" s="160" t="n">
        <x:v>0.72</x:v>
      </x:c>
      <x:c r="C18" s="160" t="n">
        <x:v>0.78</x:v>
      </x:c>
      <x:c r="D18" s="160" t="n">
        <x:v>0.82</x:v>
      </x:c>
      <x:c r="E18" s="160" t="n">
        <x:v>0.86</x:v>
      </x:c>
      <x:c r="F18" s="14" t="inlineStr">
        <x:is>
          <x:t xml:space="preserve">Adopcion sobre m2 emitidos.</x:t>
        </x:is>
      </x:c>
      <x:c r="G18" s="121" t="n"/>
      <x:c r="H18" s="122" t="n"/>
    </x:row>
    <x:row r="19">
      <x:c r="A19" s="13" t="inlineStr">
        <x:is>
          <x:t xml:space="preserve">Precio Manager EUR/m2</x:t>
        </x:is>
      </x:c>
      <x:c r="B19" s="158" t="n">
        <x:v>2.6</x:v>
      </x:c>
      <x:c r="C19" s="158" t="n">
        <x:v>2.7</x:v>
      </x:c>
      <x:c r="D19" s="158" t="n">
        <x:v>2.8</x:v>
      </x:c>
      <x:c r="E19" s="158" t="n">
        <x:v>3</x:v>
      </x:c>
      <x:c r="F19" s="14" t="inlineStr">
        <x:is>
          <x:t xml:space="preserve">Precio por m2 emitido.</x:t>
        </x:is>
      </x:c>
      <x:c r="G19" s="121" t="n"/>
      <x:c r="H19" s="122" t="n"/>
    </x:row>
    <x:row r="20">
      <x:c r="A20" s="13" t="inlineStr">
        <x:is>
          <x:t xml:space="preserve">Adopcion Manager</x:t>
        </x:is>
      </x:c>
      <x:c r="B20" s="160" t="n">
        <x:v>0.82</x:v>
      </x:c>
      <x:c r="C20" s="160" t="n">
        <x:v>0.88</x:v>
      </x:c>
      <x:c r="D20" s="160" t="n">
        <x:v>0.92</x:v>
      </x:c>
      <x:c r="E20" s="160" t="n">
        <x:v>0.95</x:v>
      </x:c>
      <x:c r="F20" s="14" t="inlineStr">
        <x:is>
          <x:t xml:space="preserve">Adopcion sobre m2 emitidos.</x:t>
        </x:is>
      </x:c>
      <x:c r="G20" s="121" t="n"/>
      <x:c r="H20" s="122" t="n"/>
    </x:row>
    <x:row r="21">
      <x:c r="A21" s="13" t="inlineStr">
        <x:is>
          <x:t xml:space="preserve">Precio Asset Activation EUR/m2</x:t>
        </x:is>
      </x:c>
      <x:c r="B21" s="158" t="n">
        <x:v>5</x:v>
      </x:c>
      <x:c r="C21" s="158" t="n">
        <x:v>6.5</x:v>
      </x:c>
      <x:c r="D21" s="158" t="n">
        <x:v>7.25</x:v>
      </x:c>
      <x:c r="E21" s="158" t="n">
        <x:v>8</x:v>
      </x:c>
      <x:c r="F21" s="14" t="inlineStr">
        <x:is>
          <x:t xml:space="preserve">Activacion de activo por m2 emitido.</x:t>
        </x:is>
      </x:c>
      <x:c r="G21" s="121" t="n"/>
      <x:c r="H21" s="122" t="n"/>
    </x:row>
    <x:row r="22">
      <x:c r="A22" s="13" t="inlineStr">
        <x:is>
          <x:t xml:space="preserve">Completion Asset Activation</x:t>
        </x:is>
      </x:c>
      <x:c r="B22" s="160" t="n">
        <x:v>0.88</x:v>
      </x:c>
      <x:c r="C22" s="160" t="n">
        <x:v>0.95</x:v>
      </x:c>
      <x:c r="D22" s="160" t="n">
        <x:v>0.92</x:v>
      </x:c>
      <x:c r="E22" s="160" t="n">
        <x:v>1</x:v>
      </x:c>
      <x:c r="F22" s="14" t="inlineStr">
        <x:is>
          <x:t xml:space="preserve">Porcentaje de cierre/activacion.</x:t>
        </x:is>
      </x:c>
      <x:c r="G22" s="121" t="n"/>
      <x:c r="H22" s="122" t="n"/>
    </x:row>
    <x:row r="23">
      <x:c r="A23" s="13" t="inlineStr">
        <x:is>
          <x:t xml:space="preserve">Precio POI base EUR/m2</x:t>
        </x:is>
      </x:c>
      <x:c r="B23" s="158" t="n">
        <x:v>3.4</x:v>
      </x:c>
      <x:c r="C23" s="158" t="n">
        <x:v>4.1</x:v>
      </x:c>
      <x:c r="D23" s="158" t="n">
        <x:v>4.8</x:v>
      </x:c>
      <x:c r="E23" s="158" t="n">
        <x:v>5.5</x:v>
      </x:c>
      <x:c r="F23" s="14" t="inlineStr">
        <x:is>
          <x:t xml:space="preserve">POI base por m2.</x:t>
        </x:is>
      </x:c>
      <x:c r="G23" s="121" t="n"/>
      <x:c r="H23" s="122" t="n"/>
    </x:row>
    <x:row r="24">
      <x:c r="A24" s="13" t="inlineStr">
        <x:is>
          <x:t xml:space="preserve">Uplift POI</x:t>
        </x:is>
      </x:c>
      <x:c r="B24" s="160" t="n">
        <x:v>0.2</x:v>
      </x:c>
      <x:c r="C24" s="160" t="n">
        <x:v>0.25</x:v>
      </x:c>
      <x:c r="D24" s="160" t="n">
        <x:v>0.25</x:v>
      </x:c>
      <x:c r="E24" s="160" t="n">
        <x:v>0.25</x:v>
      </x:c>
      <x:c r="F24" s="14" t="inlineStr">
        <x:is>
          <x:t xml:space="preserve">Complejidad/servicios adicionales.</x:t>
        </x:is>
      </x:c>
      <x:c r="G24" s="121" t="n"/>
      <x:c r="H24" s="122" t="n"/>
    </x:row>
    <x:row r="25">
      <x:c r="A25" s="13" t="inlineStr">
        <x:is>
          <x:t xml:space="preserve">POI completion</x:t>
        </x:is>
      </x:c>
      <x:c r="B25" s="160" t="n">
        <x:v>0.78</x:v>
      </x:c>
      <x:c r="C25" s="160" t="n">
        <x:v>0.9</x:v>
      </x:c>
      <x:c r="D25" s="160" t="n">
        <x:v>0.92</x:v>
      </x:c>
      <x:c r="E25" s="160" t="n">
        <x:v>0.95</x:v>
      </x:c>
      <x:c r="F25" s="14" t="inlineStr">
        <x:is>
          <x:t xml:space="preserve">Porcentaje de eventos POI completados.</x:t>
        </x:is>
      </x:c>
      <x:c r="G25" s="121" t="n"/>
      <x:c r="H25" s="122" t="n"/>
    </x:row>
    <x:row r="26">
      <x:c r="A26" s="13" t="inlineStr">
        <x:is>
          <x:t xml:space="preserve">Precio DPP base EUR/m2</x:t>
        </x:is>
      </x:c>
      <x:c r="B26" s="158" t="n">
        <x:v>4.4</x:v>
      </x:c>
      <x:c r="C26" s="158" t="n">
        <x:v>5.4</x:v>
      </x:c>
      <x:c r="D26" s="158" t="n">
        <x:v>6.4</x:v>
      </x:c>
      <x:c r="E26" s="158" t="n">
        <x:v>7.5</x:v>
      </x:c>
      <x:c r="F26" s="14" t="inlineStr">
        <x:is>
          <x:t xml:space="preserve">DPP / Carpeta Madre por m2.</x:t>
        </x:is>
      </x:c>
      <x:c r="G26" s="121" t="n"/>
      <x:c r="H26" s="122" t="n"/>
    </x:row>
    <x:row r="27">
      <x:c r="A27" s="13" t="inlineStr">
        <x:is>
          <x:t xml:space="preserve">Uplift DPP</x:t>
        </x:is>
      </x:c>
      <x:c r="B27" s="160" t="n">
        <x:v>0.12</x:v>
      </x:c>
      <x:c r="C27" s="160" t="n">
        <x:v>0.15</x:v>
      </x:c>
      <x:c r="D27" s="160" t="n">
        <x:v>0.15</x:v>
      </x:c>
      <x:c r="E27" s="160" t="n">
        <x:v>0.15</x:v>
      </x:c>
      <x:c r="F27" s="14" t="inlineStr">
        <x:is>
          <x:t xml:space="preserve">Complejidad documental.</x:t>
        </x:is>
      </x:c>
      <x:c r="G27" s="121" t="n"/>
      <x:c r="H27" s="122" t="n"/>
    </x:row>
    <x:row r="28">
      <x:c r="A28" s="13" t="inlineStr">
        <x:is>
          <x:t xml:space="preserve">DPP completion</x:t>
        </x:is>
      </x:c>
      <x:c r="B28" s="160" t="n">
        <x:v>0.62</x:v>
      </x:c>
      <x:c r="C28" s="160" t="n">
        <x:v>0.74</x:v>
      </x:c>
      <x:c r="D28" s="160" t="n">
        <x:v>0.82</x:v>
      </x:c>
      <x:c r="E28" s="160" t="n">
        <x:v>0.88</x:v>
      </x:c>
      <x:c r="F28" s="14" t="inlineStr">
        <x:is>
          <x:t xml:space="preserve">Porcentaje de activos con DPP cerrado.</x:t>
        </x:is>
      </x:c>
      <x:c r="G28" s="121" t="n"/>
      <x:c r="H28" s="122" t="n"/>
    </x:row>
    <x:row r="29">
      <x:c r="A29" s="13" t="inlineStr">
        <x:is>
          <x:t xml:space="preserve">Precio recurrente digital EUR/m2 stock</x:t>
        </x:is>
      </x:c>
      <x:c r="B29" s="158" t="n">
        <x:v>0.95</x:v>
      </x:c>
      <x:c r="C29" s="158" t="n">
        <x:v>1.35</x:v>
      </x:c>
      <x:c r="D29" s="158" t="n">
        <x:v>1.8</x:v>
      </x:c>
      <x:c r="E29" s="158" t="n">
        <x:v>2.3</x:v>
      </x:c>
      <x:c r="F29" s="14" t="inlineStr">
        <x:is>
          <x:t xml:space="preserve">Sobre stock vivo.</x:t>
        </x:is>
      </x:c>
      <x:c r="G29" s="121" t="n"/>
      <x:c r="H29" s="122" t="n"/>
    </x:row>
    <x:row r="30">
      <x:c r="A30" s="13" t="inlineStr">
        <x:is>
          <x:t xml:space="preserve">Uplift Network Maintenance</x:t>
        </x:is>
      </x:c>
      <x:c r="B30" s="160" t="n">
        <x:v>0.3</x:v>
      </x:c>
      <x:c r="C30" s="160" t="n">
        <x:v>0.4</x:v>
      </x:c>
      <x:c r="D30" s="160" t="n">
        <x:v>0.45</x:v>
      </x:c>
      <x:c r="E30" s="160" t="n">
        <x:v>0.5</x:v>
      </x:c>
      <x:c r="F30" s="14" t="inlineStr">
        <x:is>
          <x:t xml:space="preserve">Servicios adicionales sobre mantenimiento.</x:t>
        </x:is>
      </x:c>
      <x:c r="G30" s="121" t="n"/>
      <x:c r="H30" s="122" t="n"/>
    </x:row>
    <x:row r="31">
      <x:c r="A31" s="13" t="inlineStr">
        <x:is>
          <x:t xml:space="preserve">Conversion recurrente</x:t>
        </x:is>
      </x:c>
      <x:c r="B31" s="160" t="n">
        <x:v>0.4</x:v>
      </x:c>
      <x:c r="C31" s="160" t="n">
        <x:v>0.52</x:v>
      </x:c>
      <x:c r="D31" s="160" t="n">
        <x:v>0.45</x:v>
      </x:c>
      <x:c r="E31" s="160" t="n">
        <x:v>0.5600000000000001</x:v>
      </x:c>
      <x:c r="F31" s="14" t="inlineStr">
        <x:is>
          <x:t xml:space="preserve">Conversion del stock vivo a servicios recurrentes.</x:t>
        </x:is>
      </x:c>
      <x:c r="G31" s="121" t="n"/>
      <x:c r="H31" s="122" t="n"/>
    </x:row>
    <x:row r="32">
      <x:c r="A32" s="13" t="inlineStr">
        <x:is>
          <x:t xml:space="preserve">Precio Data Layers EUR/m2 stock</x:t>
        </x:is>
      </x:c>
      <x:c r="B32" s="158" t="n">
        <x:v>1.5</x:v>
      </x:c>
      <x:c r="C32" s="158" t="n">
        <x:v>2.1</x:v>
      </x:c>
      <x:c r="D32" s="158" t="n">
        <x:v>2.8</x:v>
      </x:c>
      <x:c r="E32" s="158" t="n">
        <x:v>3.6</x:v>
      </x:c>
      <x:c r="F32" s="14" t="inlineStr">
        <x:is>
          <x:t xml:space="preserve">Capa de datos sobre stock vivo.</x:t>
        </x:is>
      </x:c>
      <x:c r="G32" s="121" t="n"/>
      <x:c r="H32" s="122" t="n"/>
    </x:row>
    <x:row r="33">
      <x:c r="A33" s="13" t="inlineStr">
        <x:is>
          <x:t xml:space="preserve">Uplift Data Layers</x:t>
        </x:is>
      </x:c>
      <x:c r="B33" s="160" t="n">
        <x:v>0.2</x:v>
      </x:c>
      <x:c r="C33" s="160" t="n">
        <x:v>0.25</x:v>
      </x:c>
      <x:c r="D33" s="160" t="n">
        <x:v>0.3</x:v>
      </x:c>
      <x:c r="E33" s="160" t="n">
        <x:v>0.3</x:v>
      </x:c>
      <x:c r="F33" s="14" t="inlineStr">
        <x:is>
          <x:t xml:space="preserve">Complejidad/valor de datos.</x:t>
        </x:is>
      </x:c>
      <x:c r="G33" s="121" t="n"/>
      <x:c r="H33" s="122" t="n"/>
    </x:row>
    <x:row r="34">
      <x:c r="A34" s="13" t="inlineStr">
        <x:is>
          <x:t xml:space="preserve">Adopcion Data Layers</x:t>
        </x:is>
      </x:c>
      <x:c r="B34" s="160" t="n">
        <x:v>0.16</x:v>
      </x:c>
      <x:c r="C34" s="160" t="n">
        <x:v>0.22</x:v>
      </x:c>
      <x:c r="D34" s="160" t="n">
        <x:v>0.3</x:v>
      </x:c>
      <x:c r="E34" s="160" t="n">
        <x:v>0.39</x:v>
      </x:c>
      <x:c r="F34" s="14" t="inlineStr">
        <x:is>
          <x:t xml:space="preserve">Adopcion de modulos data.</x:t>
        </x:is>
      </x:c>
      <x:c r="G34" s="121" t="n"/>
      <x:c r="H34" s="122" t="n"/>
    </x:row>
    <x:row r="35">
      <x:c r="A35" s="13" t="inlineStr">
        <x:is>
          <x:t xml:space="preserve">Penetracion Marketplace</x:t>
        </x:is>
      </x:c>
      <x:c r="B35" s="160" t="n">
        <x:v>0.18</x:v>
      </x:c>
      <x:c r="C35" s="160" t="n">
        <x:v>0.28</x:v>
      </x:c>
      <x:c r="D35" s="160" t="n">
        <x:v>0.4</x:v>
      </x:c>
      <x:c r="E35" s="160" t="n">
        <x:v>0.52</x:v>
      </x:c>
      <x:c r="F35" s="14" t="inlineStr">
        <x:is>
          <x:t xml:space="preserve">Penetracion sobre stock vivo.</x:t>
        </x:is>
      </x:c>
      <x:c r="G35" s="121" t="n"/>
      <x:c r="H35" s="122" t="n"/>
    </x:row>
    <x:row r="36">
      <x:c r="A36" s="13" t="inlineStr">
        <x:is>
          <x:t xml:space="preserve">Fee Marketplace EUR/m2 stock</x:t>
        </x:is>
      </x:c>
      <x:c r="B36" s="158" t="n">
        <x:v>1.5</x:v>
      </x:c>
      <x:c r="C36" s="158" t="n">
        <x:v>1.6</x:v>
      </x:c>
      <x:c r="D36" s="158" t="n">
        <x:v>1.8</x:v>
      </x:c>
      <x:c r="E36" s="158" t="n">
        <x:v>2</x:v>
      </x:c>
      <x:c r="F36" s="14" t="inlineStr">
        <x:is>
          <x:t xml:space="preserve">Fee por m2 de stock vivo.</x:t>
        </x:is>
      </x:c>
      <x:c r="G36" s="121" t="n"/>
      <x:c r="H36" s="122" t="n"/>
    </x:row>
    <x:row r="37">
      <x:c r="A37" s="13" t="inlineStr">
        <x:is>
          <x:t xml:space="preserve">Servicios premium Marketplace EUR M</x:t>
        </x:is>
      </x:c>
      <x:c r="B37" s="158" t="n">
        <x:v>0.25</x:v>
      </x:c>
      <x:c r="C37" s="158" t="n">
        <x:v>0.6</x:v>
      </x:c>
      <x:c r="D37" s="158" t="n">
        <x:v>1.2</x:v>
      </x:c>
      <x:c r="E37" s="158" t="n">
        <x:v>2</x:v>
      </x:c>
      <x:c r="F37" s="14" t="inlineStr">
        <x:is>
          <x:t xml:space="preserve">Servicios premium no directamente ligados a m2.</x:t>
        </x:is>
      </x:c>
      <x:c r="G37" s="121" t="n"/>
      <x:c r="H37" s="122" t="n"/>
    </x:row>
    <x:row r="38">
      <x:c r="A38" s="13" t="inlineStr">
        <x:is>
          <x:t xml:space="preserve">iPath revenue EUR M</x:t>
        </x:is>
      </x:c>
      <x:c r="B38" s="158" t="n">
        <x:v>2.39</x:v>
      </x:c>
      <x:c r="C38" s="158" t="n">
        <x:v>7.21</x:v>
      </x:c>
      <x:c r="D38" s="158" t="n">
        <x:v>16.01</x:v>
      </x:c>
      <x:c r="E38" s="158" t="n">
        <x:v>33.91</x:v>
      </x:c>
      <x:c r="F38" s="14" t="inlineStr">
        <x:is>
          <x:t xml:space="preserve">Vertical iPath.</x:t>
        </x:is>
      </x:c>
      <x:c r="G38" s="121" t="n"/>
      <x:c r="H38" s="122" t="n"/>
    </x:row>
    <x:row r="39">
      <x:c r="A39" s="13" t="inlineStr">
        <x:is>
          <x:t xml:space="preserve">Moolde revenue EUR M</x:t>
        </x:is>
      </x:c>
      <x:c r="B39" s="158" t="n">
        <x:v>0.2</x:v>
      </x:c>
      <x:c r="C39" s="158" t="n">
        <x:v>0.8</x:v>
      </x:c>
      <x:c r="D39" s="158" t="n">
        <x:v>1.8</x:v>
      </x:c>
      <x:c r="E39" s="158" t="n">
        <x:v>3</x:v>
      </x:c>
      <x:c r="F39" s="14" t="inlineStr">
        <x:is>
          <x:t xml:space="preserve">Vertical circularidad/materiales.</x:t>
        </x:is>
      </x:c>
      <x:c r="G39" s="121" t="n"/>
      <x:c r="H39" s="122" t="n"/>
    </x:row>
    <x:row r="40">
      <x:c r="A40" s="13" t="inlineStr">
        <x:is>
          <x:t xml:space="preserve">Internacional revenue EUR M</x:t>
        </x:is>
      </x:c>
      <x:c r="B40" s="158" t="n">
        <x:v>0</x:v>
      </x:c>
      <x:c r="C40" s="158" t="n">
        <x:v>1.5</x:v>
      </x:c>
      <x:c r="D40" s="158" t="n">
        <x:v>4</x:v>
      </x:c>
      <x:c r="E40" s="158" t="n">
        <x:v>12</x:v>
      </x:c>
      <x:c r="F40" s="14" t="inlineStr">
        <x:is>
          <x:t xml:space="preserve">Expansion internacional.</x:t>
        </x:is>
      </x:c>
      <x:c r="G40" s="121" t="n"/>
      <x:c r="H40" s="122" t="n"/>
    </x:row>
    <x:row r="41">
      <x:c r="A41" s="13" t="inlineStr">
        <x:is>
          <x:t xml:space="preserve">Financial Layer revenue EUR M</x:t>
        </x:is>
      </x:c>
      <x:c r="B41" s="158" t="n">
        <x:v>0.3</x:v>
      </x:c>
      <x:c r="C41" s="158" t="n">
        <x:v>1.2</x:v>
      </x:c>
      <x:c r="D41" s="158" t="n">
        <x:v>3</x:v>
      </x:c>
      <x:c r="E41" s="158" t="n">
        <x:v>9</x:v>
      </x:c>
      <x:c r="F41" s="14" t="inlineStr">
        <x:is>
          <x:t xml:space="preserve">Capa financiera / datos / servicios.</x:t>
        </x:is>
      </x:c>
      <x:c r="G41" s="121" t="n"/>
      <x:c r="H41" s="122" t="n"/>
    </x:row>
    <x:row r="42">
      <x:c r="A42" s="13" t="n"/>
      <x:c r="B42" s="14" t="n"/>
      <x:c r="C42" s="14" t="n"/>
      <x:c r="D42" s="14" t="n"/>
      <x:c r="E42" s="14" t="n"/>
      <x:c r="F42" s="14" t="n"/>
      <x:c r="G42" s="121" t="n"/>
      <x:c r="H42" s="122" t="n"/>
    </x:row>
    <x:row r="43">
      <x:c r="A43" s="13" t="n"/>
      <x:c r="B43" s="14" t="n"/>
      <x:c r="C43" s="14" t="n"/>
      <x:c r="D43" s="14" t="n"/>
      <x:c r="E43" s="14" t="n"/>
      <x:c r="F43" s="14" t="n"/>
      <x:c r="G43" s="121" t="n"/>
      <x:c r="H43" s="122" t="n"/>
    </x:row>
    <x:row r="44">
      <x:c r="A44" s="116" t="inlineStr">
        <x:is>
          <x:t xml:space="preserve">Margenes, cash, amortizacion y financiacion</x:t>
        </x:is>
      </x:c>
      <x:c r="B44" s="117" t="str"/>
      <x:c r="C44" s="117" t="str"/>
      <x:c r="D44" s="117" t="str"/>
      <x:c r="E44" s="117" t="str"/>
      <x:c r="F44" s="117" t="str"/>
      <x:c r="G44" s="121" t="n"/>
      <x:c r="H44" s="122" t="n"/>
    </x:row>
    <x:row r="45">
      <x:c r="A45" s="114" t="inlineStr">
        <x:is>
          <x:t xml:space="preserve">Concepto</x:t>
        </x:is>
      </x:c>
      <x:c r="B45" s="159" t="inlineStr">
        <x:is>
          <x:t xml:space="preserve">2026/27</x:t>
        </x:is>
      </x:c>
      <x:c r="C45" s="159" t="inlineStr">
        <x:is>
          <x:t xml:space="preserve">2028</x:t>
        </x:is>
      </x:c>
      <x:c r="D45" s="159" t="inlineStr">
        <x:is>
          <x:t xml:space="preserve">2029</x:t>
        </x:is>
      </x:c>
      <x:c r="E45" s="159" t="inlineStr">
        <x:is>
          <x:t xml:space="preserve">2030</x:t>
        </x:is>
      </x:c>
      <x:c r="F45" s="115" t="inlineStr">
        <x:is>
          <x:t xml:space="preserve">Notas / driver</x:t>
        </x:is>
      </x:c>
      <x:c r="G45" s="121" t="n"/>
      <x:c r="H45" s="122" t="n"/>
    </x:row>
    <x:row r="46">
      <x:c r="A46" s="13" t="inlineStr">
        <x:is>
          <x:t xml:space="preserve">Margen Asset OS</x:t>
        </x:is>
      </x:c>
      <x:c r="B46" s="160" t="n">
        <x:v>0.75</x:v>
      </x:c>
      <x:c r="C46" s="160" t="n">
        <x:v>0.77</x:v>
      </x:c>
      <x:c r="D46" s="160" t="n">
        <x:v>0.79</x:v>
      </x:c>
      <x:c r="E46" s="160" t="n">
        <x:v>0.82</x:v>
      </x:c>
      <x:c r="F46" s="14" t="inlineStr">
        <x:is>
          <x:t xml:space="preserve">Aplicado al resto de Asset OS excluyendo digitalizacion y fees especificos.</x:t>
        </x:is>
      </x:c>
      <x:c r="G46" s="121" t="n"/>
      <x:c r="H46" s="122" t="n"/>
    </x:row>
    <x:row r="47">
      <x:c r="A47" s="13" t="inlineStr">
        <x:is>
          <x:t xml:space="preserve">Margen iPath</x:t>
        </x:is>
      </x:c>
      <x:c r="B47" s="160" t="n">
        <x:v>0.4</x:v>
      </x:c>
      <x:c r="C47" s="160" t="n">
        <x:v>0.42</x:v>
      </x:c>
      <x:c r="D47" s="160" t="n">
        <x:v>0.44</x:v>
      </x:c>
      <x:c r="E47" s="160" t="n">
        <x:v>0.48</x:v>
      </x:c>
      <x:c r="F47" s="14" t="inlineStr">
        <x:is>
          <x:t xml:space="preserve">Margen de contribucion vertical iPath.</x:t>
        </x:is>
      </x:c>
      <x:c r="G47" s="121" t="n"/>
      <x:c r="H47" s="122" t="n"/>
    </x:row>
    <x:row r="48">
      <x:c r="A48" s="13" t="inlineStr">
        <x:is>
          <x:t xml:space="preserve">Margen Marketplace</x:t>
        </x:is>
      </x:c>
      <x:c r="B48" s="160" t="n">
        <x:v>0.8</x:v>
      </x:c>
      <x:c r="C48" s="160" t="n">
        <x:v>0.82</x:v>
      </x:c>
      <x:c r="D48" s="160" t="n">
        <x:v>0.84</x:v>
      </x:c>
      <x:c r="E48" s="160" t="n">
        <x:v>0.86</x:v>
      </x:c>
      <x:c r="F48" s="14" t="inlineStr">
        <x:is>
          <x:t xml:space="preserve">Margen de contribucion Marketplace.</x:t>
        </x:is>
      </x:c>
      <x:c r="G48" s="121" t="n"/>
      <x:c r="H48" s="122" t="n"/>
    </x:row>
    <x:row r="49">
      <x:c r="A49" s="13" t="inlineStr">
        <x:is>
          <x:t xml:space="preserve">Margen Internacional</x:t>
        </x:is>
      </x:c>
      <x:c r="B49" s="160" t="n">
        <x:v>0.65</x:v>
      </x:c>
      <x:c r="C49" s="160" t="n">
        <x:v>0.68</x:v>
      </x:c>
      <x:c r="D49" s="160" t="n">
        <x:v>0.7</x:v>
      </x:c>
      <x:c r="E49" s="160" t="n">
        <x:v>0.75</x:v>
      </x:c>
      <x:c r="F49" s="14" t="inlineStr">
        <x:is>
          <x:t xml:space="preserve">Margen contribucion internacional.</x:t>
        </x:is>
      </x:c>
      <x:c r="G49" s="121" t="n"/>
      <x:c r="H49" s="122" t="n"/>
    </x:row>
    <x:row r="50">
      <x:c r="A50" s="13" t="inlineStr">
        <x:is>
          <x:t xml:space="preserve">Margen Financial Layer</x:t>
        </x:is>
      </x:c>
      <x:c r="B50" s="160" t="n">
        <x:v>0.68</x:v>
      </x:c>
      <x:c r="C50" s="160" t="n">
        <x:v>0.72</x:v>
      </x:c>
      <x:c r="D50" s="160" t="n">
        <x:v>0.75</x:v>
      </x:c>
      <x:c r="E50" s="160" t="n">
        <x:v>0.85</x:v>
      </x:c>
      <x:c r="F50" s="14" t="inlineStr">
        <x:is>
          <x:t xml:space="preserve">Margen servicios financieros/datos.</x:t>
        </x:is>
      </x:c>
      <x:c r="G50" s="121" t="n"/>
      <x:c r="H50" s="122" t="n"/>
    </x:row>
    <x:row r="51">
      <x:c r="A51" s="13" t="inlineStr">
        <x:is>
          <x:t xml:space="preserve">GM digitalizacion fabricante</x:t>
        </x:is>
      </x:c>
      <x:c r="B51" s="160" t="n">
        <x:v>0.58</x:v>
      </x:c>
      <x:c r="C51" s="160" t="n">
        <x:v>0.6</x:v>
      </x:c>
      <x:c r="D51" s="160" t="n">
        <x:v>0.62</x:v>
      </x:c>
      <x:c r="E51" s="160" t="n">
        <x:v>0.65</x:v>
      </x:c>
      <x:c r="F51" s="14" t="inlineStr">
        <x:is>
          <x:t xml:space="preserve">Margen por paquete de digitalizacion fabricante.</x:t>
        </x:is>
      </x:c>
      <x:c r="G51" s="121" t="n"/>
      <x:c r="H51" s="122" t="n"/>
    </x:row>
    <x:row r="52">
      <x:c r="A52" s="13" t="inlineStr">
        <x:is>
          <x:t xml:space="preserve">GM digitalizacion montaje</x:t>
        </x:is>
      </x:c>
      <x:c r="B52" s="160" t="n">
        <x:v>0.62</x:v>
      </x:c>
      <x:c r="C52" s="160" t="n">
        <x:v>0.65</x:v>
      </x:c>
      <x:c r="D52" s="160" t="n">
        <x:v>0.67</x:v>
      </x:c>
      <x:c r="E52" s="160" t="n">
        <x:v>0.7</x:v>
      </x:c>
      <x:c r="F52" s="14" t="inlineStr">
        <x:is>
          <x:t xml:space="preserve">Margen por paquete de digitalizacion montaje.</x:t>
        </x:is>
      </x:c>
      <x:c r="G52" s="121" t="n"/>
      <x:c r="H52" s="122" t="n"/>
    </x:row>
    <x:row r="53">
      <x:c r="A53" s="13" t="inlineStr">
        <x:is>
          <x:t xml:space="preserve">GM fee fabricante</x:t>
        </x:is>
      </x:c>
      <x:c r="B53" s="160" t="n">
        <x:v>0.86</x:v>
      </x:c>
      <x:c r="C53" s="160" t="n">
        <x:v>0.87</x:v>
      </x:c>
      <x:c r="D53" s="160" t="n">
        <x:v>0.88</x:v>
      </x:c>
      <x:c r="E53" s="160" t="n">
        <x:v>0.9</x:v>
      </x:c>
      <x:c r="F53" s="14" t="inlineStr">
        <x:is>
          <x:t xml:space="preserve">Margen sobre fee fabricante.</x:t>
        </x:is>
      </x:c>
      <x:c r="G53" s="121" t="n"/>
      <x:c r="H53" s="122" t="n"/>
    </x:row>
    <x:row r="54">
      <x:c r="A54" s="13" t="inlineStr">
        <x:is>
          <x:t xml:space="preserve">GM fee montaje</x:t>
        </x:is>
      </x:c>
      <x:c r="B54" s="160" t="n">
        <x:v>0.84</x:v>
      </x:c>
      <x:c r="C54" s="160" t="n">
        <x:v>0.86</x:v>
      </x:c>
      <x:c r="D54" s="160" t="n">
        <x:v>0.87</x:v>
      </x:c>
      <x:c r="E54" s="160" t="n">
        <x:v>0.88</x:v>
      </x:c>
      <x:c r="F54" s="14" t="inlineStr">
        <x:is>
          <x:t xml:space="preserve">Margen sobre fee montaje.</x:t>
        </x:is>
      </x:c>
      <x:c r="G54" s="121" t="n"/>
      <x:c r="H54" s="122" t="n"/>
    </x:row>
    <x:row r="55">
      <x:c r="A55" s="13" t="inlineStr">
        <x:is>
          <x:t xml:space="preserve">Margen Moolde</x:t>
        </x:is>
      </x:c>
      <x:c r="B55" s="160" t="n">
        <x:v>1</x:v>
      </x:c>
      <x:c r="C55" s="160" t="n">
        <x:v>1</x:v>
      </x:c>
      <x:c r="D55" s="160" t="n">
        <x:v>1</x:v>
      </x:c>
      <x:c r="E55" s="160" t="n">
        <x:v>1</x:v>
      </x:c>
      <x:c r="F55" s="14" t="inlineStr">
        <x:is>
          <x:t xml:space="preserve">Moolde se modela como contribucion neta.</x:t>
        </x:is>
      </x:c>
      <x:c r="G55" s="121" t="n"/>
      <x:c r="H55" s="122" t="n"/>
    </x:row>
    <x:row r="56">
      <x:c r="A56" s="13" t="inlineStr">
        <x:is>
          <x:t xml:space="preserve">WC % crecimiento</x:t>
        </x:is>
      </x:c>
      <x:c r="B56" s="160" t="n">
        <x:v>0.15</x:v>
      </x:c>
      <x:c r="C56" s="160" t="n">
        <x:v>0.16</x:v>
      </x:c>
      <x:c r="D56" s="160" t="n">
        <x:v>0.17</x:v>
      </x:c>
      <x:c r="E56" s="160" t="n">
        <x:v>0.18</x:v>
      </x:c>
      <x:c r="F56" s="14" t="inlineStr">
        <x:is>
          <x:t xml:space="preserve">Capital circulante incremental sobre crecimiento de ingresos.</x:t>
        </x:is>
      </x:c>
      <x:c r="G56" s="121" t="n"/>
      <x:c r="H56" s="122" t="n"/>
    </x:row>
    <x:row r="57">
      <x:c r="A57" s="13" t="inlineStr">
        <x:is>
          <x:t xml:space="preserve">Capex EUR M</x:t>
        </x:is>
      </x:c>
      <x:c r="B57" s="158" t="n">
        <x:v>2</x:v>
      </x:c>
      <x:c r="C57" s="158" t="n">
        <x:v>2.5</x:v>
      </x:c>
      <x:c r="D57" s="158" t="n">
        <x:v>3</x:v>
      </x:c>
      <x:c r="E57" s="158" t="n">
        <x:v>4</x:v>
      </x:c>
      <x:c r="F57" s="14" t="inlineStr">
        <x:is>
          <x:t xml:space="preserve">Capex de plataforma, producto y despliegue.</x:t>
        </x:is>
      </x:c>
      <x:c r="G57" s="121" t="n"/>
      <x:c r="H57" s="122" t="n"/>
    </x:row>
    <x:row r="58">
      <x:c r="A58" s="13" t="inlineStr">
        <x:is>
          <x:t xml:space="preserve">Tasa fiscal</x:t>
        </x:is>
      </x:c>
      <x:c r="B58" s="160" t="n">
        <x:v>0.25</x:v>
      </x:c>
      <x:c r="C58" s="160" t="n">
        <x:v>0.25</x:v>
      </x:c>
      <x:c r="D58" s="160" t="n">
        <x:v>0.25</x:v>
      </x:c>
      <x:c r="E58" s="160" t="n">
        <x:v>0.25</x:v>
      </x:c>
      <x:c r="F58" s="14" t="inlineStr">
        <x:is>
          <x:t xml:space="preserve">Sobre resultado antes de impuestos positivo.</x:t>
        </x:is>
      </x:c>
      <x:c r="G58" s="121" t="n"/>
      <x:c r="H58" s="122" t="n"/>
    </x:row>
    <x:row r="59">
      <x:c r="A59" s="13" t="inlineStr">
        <x:is>
          <x:t xml:space="preserve">Financiacion EUR M</x:t>
        </x:is>
      </x:c>
      <x:c r="B59" s="158" t="n">
        <x:v>3</x:v>
      </x:c>
      <x:c r="C59" s="158" t="n">
        <x:v>1.5</x:v>
      </x:c>
      <x:c r="D59" s="158" t="n">
        <x:v>0</x:v>
      </x:c>
      <x:c r="E59" s="158" t="n">
        <x:v>0</x:v>
      </x:c>
      <x:c r="F59" s="14" t="inlineStr">
        <x:is>
          <x:t xml:space="preserve">Financiacion externa separada del EBITDA.</x:t>
        </x:is>
      </x:c>
      <x:c r="G59" s="121" t="n"/>
      <x:c r="H59" s="122" t="n"/>
    </x:row>
    <x:row r="60">
      <x:c r="A60" s="13" t="inlineStr">
        <x:is>
          <x:t xml:space="preserve">Amortizacion / D&amp;A EUR M</x:t>
        </x:is>
      </x:c>
      <x:c r="B60" s="158" t="n">
        <x:v>0.45</x:v>
      </x:c>
      <x:c r="C60" s="158" t="n">
        <x:v>0.75</x:v>
      </x:c>
      <x:c r="D60" s="158" t="n">
        <x:v>1.1</x:v>
      </x:c>
      <x:c r="E60" s="158" t="n">
        <x:v>1.55</x:v>
      </x:c>
      <x:c r="F60" s="14" t="inlineStr">
        <x:is>
          <x:t xml:space="preserve">Amortizacion contable de plataforma, IP, equipamiento y despliegue.</x:t>
        </x:is>
      </x:c>
      <x:c r="G60" s="121" t="n"/>
      <x:c r="H60" s="122" t="n"/>
    </x:row>
    <x:row r="61">
      <x:c r="A61" s="13" t="inlineStr">
        <x:is>
          <x:t xml:space="preserve">Gasto financiero EUR M</x:t>
        </x:is>
      </x:c>
      <x:c r="B61" s="158" t="n">
        <x:v>0.21</x:v>
      </x:c>
      <x:c r="C61" s="158" t="n">
        <x:v>0.105</x:v>
      </x:c>
      <x:c r="D61" s="158" t="n">
        <x:v>0</x:v>
      </x:c>
      <x:c r="E61" s="158" t="n">
        <x:v>0</x:v>
      </x:c>
      <x:c r="F61" s="14" t="inlineStr">
        <x:is>
          <x:t xml:space="preserve">Coste financiero estimado asociado a la financiacion externa.</x:t>
        </x:is>
      </x:c>
      <x:c r="G61" s="121" t="n"/>
      <x:c r="H61" s="122" t="n"/>
    </x:row>
    <x:row r="62">
      <x:c r="A62" s="13" t="n"/>
      <x:c r="B62" s="14" t="n"/>
      <x:c r="C62" s="14" t="n"/>
      <x:c r="D62" s="14" t="n"/>
      <x:c r="E62" s="14" t="n"/>
      <x:c r="F62" s="14" t="n"/>
      <x:c r="G62" s="121" t="n"/>
      <x:c r="H62" s="122" t="n"/>
    </x:row>
    <x:row r="63" ht="26" customHeight="1">
      <x:c r="A63" s="187" t="inlineStr">
        <x:is>
          <x:t xml:space="preserve">Personal, coste empresa y Seguridad Social</x:t>
        </x:is>
      </x:c>
      <x:c r="B63" s="188" t="n"/>
      <x:c r="C63" s="188" t="n"/>
      <x:c r="D63" s="188" t="n"/>
      <x:c r="E63" s="188" t="n"/>
      <x:c r="F63" s="189" t="n"/>
      <x:c r="G63" s="121" t="n"/>
      <x:c r="H63" s="122" t="n"/>
    </x:row>
    <x:row r="64" ht="34" customHeight="1">
      <x:c r="A64" s="190" t="inlineStr">
        <x:is>
          <x:t xml:space="preserve">Hipótesis explícitas para que OPEX personal incorpore crecimiento salarial y pueda separarse entre salario bruto y coste empresa sin duplicar gasto.</x:t>
        </x:is>
      </x:c>
      <x:c r="B64" s="188" t="n"/>
      <x:c r="C64" s="188" t="n"/>
      <x:c r="D64" s="188" t="n"/>
      <x:c r="E64" s="188" t="n"/>
      <x:c r="F64" s="189" t="n"/>
      <x:c r="G64" s="121" t="n"/>
      <x:c r="H64" s="122" t="n"/>
    </x:row>
    <x:row r="65">
      <x:c r="A65" s="191" t="inlineStr">
        <x:is>
          <x:t xml:space="preserve">Concepto</x:t>
        </x:is>
      </x:c>
      <x:c r="B65" s="191" t="inlineStr">
        <x:is>
          <x:t xml:space="preserve">2026/27</x:t>
        </x:is>
      </x:c>
      <x:c r="C65" s="191" t="inlineStr">
        <x:is>
          <x:t xml:space="preserve">2028</x:t>
        </x:is>
      </x:c>
      <x:c r="D65" s="191" t="inlineStr">
        <x:is>
          <x:t xml:space="preserve">2029</x:t>
        </x:is>
      </x:c>
      <x:c r="E65" s="191" t="inlineStr">
        <x:is>
          <x:t xml:space="preserve">2030</x:t>
        </x:is>
      </x:c>
      <x:c r="F65" s="191" t="inlineStr">
        <x:is>
          <x:t xml:space="preserve">Notas / driver</x:t>
        </x:is>
      </x:c>
      <x:c r="G65" s="121" t="n"/>
      <x:c r="H65" s="122" t="n"/>
    </x:row>
    <x:row r="66">
      <x:c r="A66" s="192" t="inlineStr">
        <x:is>
          <x:t xml:space="preserve">Incremento salarial anual</x:t>
        </x:is>
      </x:c>
      <x:c r="B66" s="193" t="n">
        <x:v>0</x:v>
      </x:c>
      <x:c r="C66" s="193" t="n">
        <x:v>0.03</x:v>
      </x:c>
      <x:c r="D66" s="193" t="n">
        <x:v>0.03</x:v>
      </x:c>
      <x:c r="E66" s="193" t="n">
        <x:v>0.03</x:v>
      </x:c>
      <x:c r="F66" s="194" t="inlineStr">
        <x:is>
          <x:t xml:space="preserve">Incremento aplicado al sueldo base por perfil. Se puede ajustar por política salarial real.</x:t>
        </x:is>
      </x:c>
      <x:c r="G66" s="121" t="n"/>
      <x:c r="H66" s="122" t="n"/>
    </x:row>
    <x:row r="67">
      <x:c r="A67" s="192" t="inlineStr">
        <x:is>
          <x:t xml:space="preserve">Factor salarial acumulado</x:t>
        </x:is>
      </x:c>
      <x:c r="B67" s="195" t="n">
        <x:v>1</x:v>
      </x:c>
      <x:c r="C67" s="195" t="n">
        <x:f>B67*(1+C66)</x:f>
        <x:v>1.03</x:v>
      </x:c>
      <x:c r="D67" s="195" t="n">
        <x:f>C67*(1+D66)</x:f>
        <x:v>1.0609</x:v>
      </x:c>
      <x:c r="E67" s="195" t="n">
        <x:f>D67*(1+E66)</x:f>
        <x:v>1.092727</x:v>
      </x:c>
      <x:c r="F67" s="194" t="inlineStr">
        <x:is>
          <x:t xml:space="preserve">Multiplicador usado en 03_Detalle_Personal para que los salarios no sean estáticos.</x:t>
        </x:is>
      </x:c>
      <x:c r="G67" s="121" t="n"/>
      <x:c r="H67" s="122" t="n"/>
    </x:row>
    <x:row r="68">
      <x:c r="A68" s="192" t="inlineStr">
        <x:is>
          <x:t xml:space="preserve">Tasa coste empresa / Seguridad Social</x:t>
        </x:is>
      </x:c>
      <x:c r="B68" s="193" t="n">
        <x:v>0.31</x:v>
      </x:c>
      <x:c r="C68" s="193" t="n">
        <x:v>0.31</x:v>
      </x:c>
      <x:c r="D68" s="193" t="n">
        <x:v>0.31</x:v>
      </x:c>
      <x:c r="E68" s="193" t="n">
        <x:v>0.31</x:v>
      </x:c>
      <x:c r="F68" s="194" t="inlineStr">
        <x:is>
          <x:t xml:space="preserve">Tasa de referencia para separar salario bruto estimado y coste empresa dentro de OPEX personal.</x:t>
        </x:is>
      </x:c>
      <x:c r="G68" s="121" t="n"/>
      <x:c r="H68" s="122" t="n"/>
    </x:row>
    <x:row r="69">
      <x:c r="A69" s="13" t="n"/>
      <x:c r="B69" s="14" t="n"/>
      <x:c r="C69" s="14" t="n"/>
      <x:c r="D69" s="14" t="n"/>
      <x:c r="E69" s="14" t="n"/>
      <x:c r="F69" s="14" t="n"/>
      <x:c r="G69" s="121" t="n"/>
      <x:c r="H69" s="122" t="n"/>
    </x:row>
    <x:row r="70">
      <x:c r="A70" s="13" t="n"/>
      <x:c r="B70" s="14" t="n"/>
      <x:c r="C70" s="14" t="n"/>
      <x:c r="D70" s="14" t="n"/>
      <x:c r="E70" s="14" t="n"/>
      <x:c r="F70" s="14" t="n"/>
      <x:c r="G70" s="121" t="n"/>
      <x:c r="H70" s="122" t="n"/>
    </x:row>
    <x:row r="71">
      <x:c r="A71" s="13" t="n"/>
      <x:c r="B71" s="14" t="n"/>
      <x:c r="C71" s="14" t="n"/>
      <x:c r="D71" s="14" t="n"/>
      <x:c r="E71" s="14" t="n"/>
      <x:c r="F71" s="14" t="n"/>
      <x:c r="G71" s="121" t="n"/>
      <x:c r="H71" s="122" t="n"/>
    </x:row>
    <x:row r="72">
      <x:c r="A72" s="13" t="n"/>
      <x:c r="B72" s="14" t="n"/>
      <x:c r="C72" s="14" t="n"/>
      <x:c r="D72" s="14" t="n"/>
      <x:c r="E72" s="14" t="n"/>
      <x:c r="F72" s="14" t="n"/>
      <x:c r="G72" s="121" t="n"/>
      <x:c r="H72" s="122" t="n"/>
    </x:row>
    <x:row r="73">
      <x:c r="A73" s="13" t="n"/>
      <x:c r="B73" s="14" t="n"/>
      <x:c r="C73" s="14" t="n"/>
      <x:c r="D73" s="14" t="n"/>
      <x:c r="E73" s="14" t="n"/>
      <x:c r="F73" s="14" t="n"/>
      <x:c r="G73" s="121" t="n"/>
      <x:c r="H73" s="122" t="n"/>
    </x:row>
    <x:row r="74">
      <x:c r="A74" s="13" t="n"/>
      <x:c r="B74" s="14" t="n"/>
      <x:c r="C74" s="14" t="n"/>
      <x:c r="D74" s="14" t="n"/>
      <x:c r="E74" s="14" t="n"/>
      <x:c r="F74" s="14" t="n"/>
      <x:c r="G74" s="121" t="n"/>
      <x:c r="H74" s="122" t="n"/>
    </x:row>
    <x:row r="75">
      <x:c r="A75" s="13" t="n"/>
      <x:c r="B75" s="14" t="n"/>
      <x:c r="C75" s="14" t="n"/>
      <x:c r="D75" s="14" t="n"/>
      <x:c r="E75" s="14" t="n"/>
      <x:c r="F75" s="14" t="n"/>
      <x:c r="G75" s="121" t="n"/>
      <x:c r="H75" s="122" t="n"/>
    </x:row>
    <x:row r="76">
      <x:c r="A76" s="13" t="n"/>
      <x:c r="B76" s="14" t="n"/>
      <x:c r="C76" s="14" t="n"/>
      <x:c r="D76" s="14" t="n"/>
      <x:c r="E76" s="14" t="n"/>
      <x:c r="F76" s="14" t="n"/>
      <x:c r="G76" s="121" t="n"/>
      <x:c r="H76" s="122" t="n"/>
    </x:row>
    <x:row r="77">
      <x:c r="A77" s="13" t="n"/>
      <x:c r="B77" s="14" t="n"/>
      <x:c r="C77" s="14" t="n"/>
      <x:c r="D77" s="14" t="n"/>
      <x:c r="E77" s="14" t="n"/>
      <x:c r="F77" s="14" t="n"/>
      <x:c r="G77" s="121" t="n"/>
      <x:c r="H77" s="122" t="n"/>
    </x:row>
    <x:row r="78">
      <x:c r="A78" s="13" t="n"/>
      <x:c r="B78" s="14" t="n"/>
      <x:c r="C78" s="14" t="n"/>
      <x:c r="D78" s="14" t="n"/>
      <x:c r="E78" s="14" t="n"/>
      <x:c r="F78" s="14" t="n"/>
      <x:c r="G78" s="121" t="n"/>
      <x:c r="H78" s="122" t="n"/>
    </x:row>
    <x:row r="79">
      <x:c r="A79" s="13" t="n"/>
      <x:c r="B79" s="14" t="n"/>
      <x:c r="C79" s="14" t="n"/>
      <x:c r="D79" s="14" t="n"/>
      <x:c r="E79" s="14" t="n"/>
      <x:c r="F79" s="14" t="n"/>
      <x:c r="G79" s="121" t="n"/>
      <x:c r="H79" s="122" t="n"/>
    </x:row>
    <x:row r="80">
      <x:c r="A80" s="13" t="n"/>
      <x:c r="B80" s="14" t="n"/>
      <x:c r="C80" s="14" t="n"/>
      <x:c r="D80" s="14" t="n"/>
      <x:c r="E80" s="14" t="n"/>
      <x:c r="F80" s="14" t="n"/>
      <x:c r="G80" s="121" t="n"/>
      <x:c r="H80" s="122" t="n"/>
    </x:row>
    <x:row r="81">
      <x:c r="A81" s="13" t="n"/>
      <x:c r="B81" s="14" t="n"/>
      <x:c r="C81" s="14" t="n"/>
      <x:c r="D81" s="14" t="n"/>
      <x:c r="E81" s="14" t="n"/>
      <x:c r="F81" s="14" t="n"/>
      <x:c r="G81" s="121" t="n"/>
      <x:c r="H81" s="122" t="n"/>
    </x:row>
    <x:row r="82">
      <x:c r="A82" s="13" t="n"/>
      <x:c r="B82" s="14" t="n"/>
      <x:c r="C82" s="14" t="n"/>
      <x:c r="D82" s="14" t="n"/>
      <x:c r="E82" s="14" t="n"/>
      <x:c r="F82" s="14" t="n"/>
      <x:c r="G82" s="121" t="n"/>
      <x:c r="H82" s="122" t="n"/>
    </x:row>
    <x:row r="83">
      <x:c r="A83" s="13" t="n"/>
      <x:c r="B83" s="14" t="n"/>
      <x:c r="C83" s="14" t="n"/>
      <x:c r="D83" s="14" t="n"/>
      <x:c r="E83" s="14" t="n"/>
      <x:c r="F83" s="14" t="n"/>
      <x:c r="G83" s="121" t="n"/>
      <x:c r="H83" s="122" t="n"/>
    </x:row>
    <x:row r="84">
      <x:c r="A84" s="13" t="n"/>
      <x:c r="B84" s="14" t="n"/>
      <x:c r="C84" s="14" t="n"/>
      <x:c r="D84" s="14" t="n"/>
      <x:c r="E84" s="14" t="n"/>
      <x:c r="F84" s="14" t="n"/>
      <x:c r="G84" s="121" t="n"/>
      <x:c r="H84" s="122" t="n"/>
    </x:row>
    <x:row r="85">
      <x:c r="A85" s="13" t="n"/>
      <x:c r="B85" s="14" t="n"/>
      <x:c r="C85" s="14" t="n"/>
      <x:c r="D85" s="14" t="n"/>
      <x:c r="E85" s="14" t="n"/>
      <x:c r="F85" s="14" t="n"/>
      <x:c r="G85" s="121" t="n"/>
      <x:c r="H85" s="122" t="n"/>
    </x:row>
    <x:row r="86">
      <x:c r="A86" s="13" t="n"/>
      <x:c r="B86" s="14" t="n"/>
      <x:c r="C86" s="14" t="n"/>
      <x:c r="D86" s="14" t="n"/>
      <x:c r="E86" s="14" t="n"/>
      <x:c r="F86" s="14" t="n"/>
      <x:c r="G86" s="121" t="n"/>
      <x:c r="H86" s="122" t="n"/>
    </x:row>
    <x:row r="87">
      <x:c r="A87" s="13" t="n"/>
      <x:c r="B87" s="14" t="n"/>
      <x:c r="C87" s="14" t="n"/>
      <x:c r="D87" s="14" t="n"/>
      <x:c r="E87" s="14" t="n"/>
      <x:c r="F87" s="14" t="n"/>
      <x:c r="G87" s="121" t="n"/>
      <x:c r="H87" s="122" t="n"/>
    </x:row>
    <x:row r="88">
      <x:c r="A88" s="13" t="n"/>
      <x:c r="B88" s="14" t="n"/>
      <x:c r="C88" s="14" t="n"/>
      <x:c r="D88" s="14" t="n"/>
      <x:c r="E88" s="14" t="n"/>
      <x:c r="F88" s="14" t="n"/>
      <x:c r="G88" s="121" t="n"/>
      <x:c r="H88" s="122" t="n"/>
    </x:row>
    <x:row r="89">
      <x:c r="A89" s="13" t="n"/>
      <x:c r="B89" s="14" t="n"/>
      <x:c r="C89" s="14" t="n"/>
      <x:c r="D89" s="14" t="n"/>
      <x:c r="E89" s="14" t="n"/>
      <x:c r="F89" s="14" t="n"/>
      <x:c r="G89" s="121" t="n"/>
      <x:c r="H89" s="122" t="n"/>
    </x:row>
    <x:row r="90">
      <x:c r="A90" s="13" t="n"/>
      <x:c r="B90" s="14" t="n"/>
      <x:c r="C90" s="14" t="n"/>
      <x:c r="D90" s="14" t="n"/>
      <x:c r="E90" s="14" t="n"/>
      <x:c r="F90" s="14" t="n"/>
      <x:c r="G90" s="121" t="n"/>
      <x:c r="H90" s="122" t="n"/>
    </x:row>
    <x:row r="91">
      <x:c r="A91" s="13" t="n"/>
      <x:c r="B91" s="14" t="n"/>
      <x:c r="C91" s="14" t="n"/>
      <x:c r="D91" s="14" t="n"/>
      <x:c r="E91" s="14" t="n"/>
      <x:c r="F91" s="14" t="n"/>
      <x:c r="G91" s="121" t="n"/>
      <x:c r="H91" s="122" t="n"/>
    </x:row>
    <x:row r="92">
      <x:c r="A92" s="13" t="n"/>
      <x:c r="B92" s="14" t="n"/>
      <x:c r="C92" s="14" t="n"/>
      <x:c r="D92" s="14" t="n"/>
      <x:c r="E92" s="14" t="n"/>
      <x:c r="F92" s="14" t="n"/>
      <x:c r="G92" s="121" t="n"/>
      <x:c r="H92" s="122" t="n"/>
    </x:row>
    <x:row r="93">
      <x:c r="A93" s="13" t="n"/>
      <x:c r="B93" s="14" t="n"/>
      <x:c r="C93" s="14" t="n"/>
      <x:c r="D93" s="14" t="n"/>
      <x:c r="E93" s="14" t="n"/>
      <x:c r="F93" s="14" t="n"/>
      <x:c r="G93" s="121" t="n"/>
      <x:c r="H93" s="122" t="n"/>
    </x:row>
    <x:row r="94">
      <x:c r="A94" s="13" t="n"/>
      <x:c r="B94" s="14" t="n"/>
      <x:c r="C94" s="14" t="n"/>
      <x:c r="D94" s="14" t="n"/>
      <x:c r="E94" s="14" t="n"/>
      <x:c r="F94" s="14" t="n"/>
      <x:c r="G94" s="121" t="n"/>
      <x:c r="H94" s="122" t="n"/>
    </x:row>
    <x:row r="95">
      <x:c r="A95" s="16" t="n"/>
      <x:c r="B95" s="17" t="n"/>
      <x:c r="C95" s="17" t="n"/>
      <x:c r="D95" s="17" t="n"/>
      <x:c r="E95" s="17" t="n"/>
      <x:c r="F95" s="17" t="n"/>
      <x:c r="G95" s="127" t="n"/>
      <x:c r="H95" s="128" t="n"/>
    </x:row>
  </x:sheetData>
  <x:mergeCells>
    <x:mergeCell ref="A63:F63"/>
    <x:mergeCell ref="A64:F6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4" customWidth="1"/>
    <x:col min="3" max="3" width="14" customWidth="1"/>
    <x:col min="4" max="4" width="14" customWidth="1"/>
    <x:col min="5" max="5" width="14" customWidth="1"/>
    <x:col min="6" max="6" width="28" customWidth="1"/>
    <x:col min="7" max="7" width="34" customWidth="1"/>
    <x:col min="8" max="8" width="48" customWidth="1"/>
  </x:cols>
  <x:sheetData>
    <x:row r="1">
      <x:c r="A1" s="107" t="inlineStr">
        <x:is>
          <x:t xml:space="preserve">02 Detalle de ingresos</x:t>
        </x:is>
      </x:c>
      <x:c r="B1" s="108" t="str"/>
      <x:c r="C1" s="108" t="str"/>
      <x:c r="D1" s="108" t="str"/>
      <x:c r="E1" s="108" t="str"/>
      <x:c r="F1" s="109" t="str"/>
      <x:c r="G1" s="109" t="str"/>
      <x:c r="H1" s="110" t="str"/>
    </x:row>
    <x:row r="2">
      <x:c r="A2" s="111" t="inlineStr">
        <x:is>
          <x:t xml:space="preserve">Ingresos por concepto, driver y formula. EUR M salvo counts, m2 y tarifas.</x:t>
        </x:is>
      </x:c>
      <x:c r="B2" s="112" t="str"/>
      <x:c r="C2" s="112" t="str"/>
      <x:c r="D2" s="112" t="str"/>
      <x:c r="E2" s="112" t="str"/>
      <x:c r="F2" s="112" t="str"/>
      <x:c r="G2" s="112" t="str"/>
      <x:c r="H2" s="113" t="str"/>
    </x:row>
    <x:row r="3">
      <x:c r="A3" s="13" t="str"/>
      <x:c r="B3" s="14" t="str"/>
      <x:c r="C3" s="14" t="str"/>
      <x:c r="D3" s="14" t="str"/>
      <x:c r="E3" s="14" t="str"/>
      <x:c r="F3" s="14" t="str"/>
      <x:c r="G3" s="14" t="str"/>
      <x:c r="H3" s="15" t="str"/>
    </x:row>
    <x:row r="4">
      <x:c r="A4" s="116" t="inlineStr">
        <x:is>
          <x:t xml:space="preserve">Digitalizacion de partners</x:t>
        </x:is>
      </x:c>
      <x:c r="B4" s="117" t="str"/>
      <x:c r="C4" s="117" t="str"/>
      <x:c r="D4" s="117" t="str"/>
      <x:c r="E4" s="117" t="str"/>
      <x:c r="F4" s="117" t="str"/>
      <x:c r="G4" s="117" t="str"/>
      <x:c r="H4" s="118" t="str"/>
    </x:row>
    <x:row r="5">
      <x:c r="A5" s="114" t="inlineStr">
        <x:is>
          <x:t xml:space="preserve">Concepto</x:t>
        </x:is>
      </x:c>
      <x:c r="B5" s="115" t="inlineStr">
        <x:is>
          <x:t xml:space="preserve">2026/27</x:t>
        </x:is>
      </x:c>
      <x:c r="C5" s="115" t="inlineStr">
        <x:is>
          <x:t xml:space="preserve">2028</x:t>
        </x:is>
      </x:c>
      <x:c r="D5" s="115" t="inlineStr">
        <x:is>
          <x:t xml:space="preserve">2029</x:t>
        </x:is>
      </x:c>
      <x:c r="E5" s="115" t="inlineStr">
        <x:is>
          <x:t xml:space="preserve">2030</x:t>
        </x:is>
      </x:c>
      <x:c r="F5" s="115" t="inlineStr">
        <x:is>
          <x:t xml:space="preserve">Tarifa / driver</x:t>
        </x:is>
      </x:c>
      <x:c r="G5" s="115" t="inlineStr">
        <x:is>
          <x:t xml:space="preserve">Notas</x:t>
        </x:is>
      </x:c>
      <x:c r="H5" s="129" t="inlineStr">
        <x:is>
          <x:t xml:space="preserve">Fuente</x:t>
        </x:is>
      </x:c>
    </x:row>
    <x:row r="6">
      <x:c r="A6" s="13" t="inlineStr">
        <x:is>
          <x:t xml:space="preserve">Nuevos fabricantes - Small</x:t>
        </x:is>
      </x:c>
      <x:c r="B6" s="158" t="n">
        <x:v>1</x:v>
      </x:c>
      <x:c r="C6" s="158" t="n">
        <x:v>0</x:v>
      </x:c>
      <x:c r="D6" s="158" t="n">
        <x:v>1</x:v>
      </x:c>
      <x:c r="E6" s="158" t="n">
        <x:v>0</x:v>
      </x:c>
      <x:c r="F6" s="14" t="inlineStr">
        <x:is>
          <x:t xml:space="preserve">50.000 EUR</x:t>
        </x:is>
      </x:c>
      <x:c r="G6" s="14" t="inlineStr">
        <x:is>
          <x:t xml:space="preserve">Paquete cerrado hasta 5.000 m2</x:t>
        </x:is>
      </x:c>
      <x:c r="H6" s="15" t="inlineStr">
        <x:is>
          <x:t xml:space="preserve">Economics de partners</x:t>
        </x:is>
      </x:c>
    </x:row>
    <x:row r="7">
      <x:c r="A7" s="13" t="inlineStr">
        <x:is>
          <x:t xml:space="preserve">Nuevos fabricantes - Growth</x:t>
        </x:is>
      </x:c>
      <x:c r="B7" s="158" t="n">
        <x:v>1</x:v>
      </x:c>
      <x:c r="C7" s="158" t="n">
        <x:v>1</x:v>
      </x:c>
      <x:c r="D7" s="158" t="n">
        <x:v>0</x:v>
      </x:c>
      <x:c r="E7" s="158" t="n">
        <x:v>0</x:v>
      </x:c>
      <x:c r="F7" s="14" t="inlineStr">
        <x:is>
          <x:t xml:space="preserve">120.000 EUR</x:t>
        </x:is>
      </x:c>
      <x:c r="G7" s="14" t="inlineStr">
        <x:is>
          <x:t xml:space="preserve">Paquete cerrado growth</x:t>
        </x:is>
      </x:c>
      <x:c r="H7" s="15" t="inlineStr">
        <x:is>
          <x:t xml:space="preserve">Economics de partners</x:t>
        </x:is>
      </x:c>
    </x:row>
    <x:row r="8">
      <x:c r="A8" s="13" t="inlineStr">
        <x:is>
          <x:t xml:space="preserve">Nuevos fabricantes - Scale</x:t>
        </x:is>
      </x:c>
      <x:c r="B8" s="158" t="n">
        <x:v>0</x:v>
      </x:c>
      <x:c r="C8" s="158" t="n">
        <x:v>1</x:v>
      </x:c>
      <x:c r="D8" s="158" t="n">
        <x:v>1</x:v>
      </x:c>
      <x:c r="E8" s="158" t="n">
        <x:v>2</x:v>
      </x:c>
      <x:c r="F8" s="14" t="inlineStr">
        <x:is>
          <x:t xml:space="preserve">250.000 EUR</x:t>
        </x:is>
      </x:c>
      <x:c r="G8" s="14" t="inlineStr">
        <x:is>
          <x:t xml:space="preserve">Paquete cerrado scale</x:t>
        </x:is>
      </x:c>
      <x:c r="H8" s="15" t="inlineStr">
        <x:is>
          <x:t xml:space="preserve">Economics de partners</x:t>
        </x:is>
      </x:c>
    </x:row>
    <x:row r="9">
      <x:c r="A9" s="13" t="inlineStr">
        <x:is>
          <x:t xml:space="preserve">Nuevos fabricantes - Enterprise</x:t>
        </x:is>
      </x:c>
      <x:c r="B9" s="158" t="n">
        <x:v>0</x:v>
      </x:c>
      <x:c r="C9" s="158" t="n">
        <x:v>0</x:v>
      </x:c>
      <x:c r="D9" s="158" t="n">
        <x:v>1</x:v>
      </x:c>
      <x:c r="E9" s="158" t="n">
        <x:v>1</x:v>
      </x:c>
      <x:c r="F9" s="14" t="inlineStr">
        <x:is>
          <x:t xml:space="preserve">400.000 EUR</x:t>
        </x:is>
      </x:c>
      <x:c r="G9" s="14" t="inlineStr">
        <x:is>
          <x:t xml:space="preserve">Desde 400k</x:t>
        </x:is>
      </x:c>
      <x:c r="H9" s="15" t="inlineStr">
        <x:is>
          <x:t xml:space="preserve">Economics de partners</x:t>
        </x:is>
      </x:c>
    </x:row>
    <x:row r="10">
      <x:c r="A10" s="161" t="inlineStr">
        <x:is>
          <x:t xml:space="preserve">Revenue digitalizacion fabricante</x:t>
        </x:is>
      </x:c>
      <x:c r="B10" s="154" t="n">
        <x:f>B6*50000/1000000+B7*120000/1000000+B8*250000/1000000+B9*400000/1000000</x:f>
        <x:v>0.16999999999999998</x:v>
      </x:c>
      <x:c r="C10" s="154" t="n">
        <x:f>C6*50000/1000000+C7*120000/1000000+C8*250000/1000000+C9*400000/1000000</x:f>
        <x:v>0.37</x:v>
      </x:c>
      <x:c r="D10" s="154" t="n">
        <x:f>D6*50000/1000000+D7*120000/1000000+D8*250000/1000000+D9*400000/1000000</x:f>
        <x:v>0.7</x:v>
      </x:c>
      <x:c r="E10" s="154" t="n">
        <x:f>E6*50000/1000000+E7*120000/1000000+E8*250000/1000000+E9*400000/1000000</x:f>
        <x:v>0.9</x:v>
      </x:c>
      <x:c r="F10" s="154" t="inlineStr">
        <x:is>
          <x:t xml:space="preserve">SUMPRODUCT tiers</x:t>
        </x:is>
      </x:c>
      <x:c r="G10" s="154" t="inlineStr">
        <x:is>
          <x:t xml:space="preserve">EUR M</x:t>
        </x:is>
      </x:c>
      <x:c r="H10" s="162" t="inlineStr">
        <x:is>
          <x:t xml:space="preserve">Formula</x:t>
        </x:is>
      </x:c>
    </x:row>
    <x:row r="11">
      <x:c r="A11" s="13" t="inlineStr">
        <x:is>
          <x:t xml:space="preserve">Nuevos montadores - Starter</x:t>
        </x:is>
      </x:c>
      <x:c r="B11" s="158" t="n">
        <x:v>0</x:v>
      </x:c>
      <x:c r="C11" s="158" t="n">
        <x:v>2</x:v>
      </x:c>
      <x:c r="D11" s="158" t="n">
        <x:v>1</x:v>
      </x:c>
      <x:c r="E11" s="158" t="n">
        <x:v>1</x:v>
      </x:c>
      <x:c r="F11" s="14" t="inlineStr">
        <x:is>
          <x:t xml:space="preserve">35.000 EUR</x:t>
        </x:is>
      </x:c>
      <x:c r="G11" s="14" t="inlineStr">
        <x:is>
          <x:t xml:space="preserve">Hasta 2 cuadrillas</x:t>
        </x:is>
      </x:c>
      <x:c r="H11" s="15" t="inlineStr">
        <x:is>
          <x:t xml:space="preserve">Economics de partners</x:t>
        </x:is>
      </x:c>
    </x:row>
    <x:row r="12">
      <x:c r="A12" s="13" t="inlineStr">
        <x:is>
          <x:t xml:space="preserve">Nuevos montadores - Scale</x:t>
        </x:is>
      </x:c>
      <x:c r="B12" s="158" t="n">
        <x:v>1</x:v>
      </x:c>
      <x:c r="C12" s="158" t="n">
        <x:v>1</x:v>
      </x:c>
      <x:c r="D12" s="158" t="n">
        <x:v>1</x:v>
      </x:c>
      <x:c r="E12" s="158" t="n">
        <x:v>1</x:v>
      </x:c>
      <x:c r="F12" s="14" t="inlineStr">
        <x:is>
          <x:t xml:space="preserve">75.000 EUR</x:t>
        </x:is>
      </x:c>
      <x:c r="G12" s="14" t="inlineStr">
        <x:is>
          <x:t xml:space="preserve">3 a 6 cuadrillas</x:t>
        </x:is>
      </x:c>
      <x:c r="H12" s="15" t="inlineStr">
        <x:is>
          <x:t xml:space="preserve">Economics de partners</x:t>
        </x:is>
      </x:c>
    </x:row>
    <x:row r="13">
      <x:c r="A13" s="13" t="inlineStr">
        <x:is>
          <x:t xml:space="preserve">Nuevos montadores - Enterprise</x:t>
        </x:is>
      </x:c>
      <x:c r="B13" s="158" t="n">
        <x:v>0</x:v>
      </x:c>
      <x:c r="C13" s="158" t="n">
        <x:v>1</x:v>
      </x:c>
      <x:c r="D13" s="158" t="n">
        <x:v>1</x:v>
      </x:c>
      <x:c r="E13" s="158" t="n">
        <x:v>1</x:v>
      </x:c>
      <x:c r="F13" s="14" t="inlineStr">
        <x:is>
          <x:t xml:space="preserve">12.000 EUR/cuadrilla, min. 75k</x:t>
        </x:is>
      </x:c>
      <x:c r="G13" s="14" t="inlineStr">
        <x:is>
          <x:t xml:space="preserve">Mas de 6 cuadrillas</x:t>
        </x:is>
      </x:c>
      <x:c r="H13" s="15" t="inlineStr">
        <x:is>
          <x:t xml:space="preserve">Economics de partners</x:t>
        </x:is>
      </x:c>
    </x:row>
    <x:row r="14">
      <x:c r="A14" s="13" t="inlineStr">
        <x:is>
          <x:t xml:space="preserve">Cuadrillas medias Enterprise</x:t>
        </x:is>
      </x:c>
      <x:c r="B14" s="158" t="n">
        <x:v>6</x:v>
      </x:c>
      <x:c r="C14" s="158" t="n">
        <x:v>8</x:v>
      </x:c>
      <x:c r="D14" s="158" t="n">
        <x:v>10</x:v>
      </x:c>
      <x:c r="E14" s="158" t="n">
        <x:v>12</x:v>
      </x:c>
      <x:c r="F14" s="14" t="inlineStr">
        <x:is>
          <x:t xml:space="preserve">Input</x:t>
        </x:is>
      </x:c>
      <x:c r="G14" s="14" t="inlineStr">
        <x:is>
          <x:t xml:space="preserve">Driver para enterprise</x:t>
        </x:is>
      </x:c>
      <x:c r="H14" s="15" t="inlineStr">
        <x:is>
          <x:t xml:space="preserve">Economics de partners</x:t>
        </x:is>
      </x:c>
    </x:row>
    <x:row r="15">
      <x:c r="A15" s="161" t="inlineStr">
        <x:is>
          <x:t xml:space="preserve">Revenue digitalizacion montaje</x:t>
        </x:is>
      </x:c>
      <x:c r="B15" s="154" t="n">
        <x:f>B11*35000/1000000+B12*75000/1000000+B13*MAX(75000,B14*12000)/1000000</x:f>
        <x:v>0.075</x:v>
      </x:c>
      <x:c r="C15" s="154" t="n">
        <x:f>C11*35000/1000000+C12*75000/1000000+C13*MAX(75000,C14*12000)/1000000</x:f>
        <x:v>0.24100000000000002</x:v>
      </x:c>
      <x:c r="D15" s="154" t="n">
        <x:f>D11*35000/1000000+D12*75000/1000000+D13*MAX(75000,D14*12000)/1000000</x:f>
        <x:v>0.22999999999999998</x:v>
      </x:c>
      <x:c r="E15" s="154" t="n">
        <x:f>E11*35000/1000000+E12*75000/1000000+E13*MAX(75000,E14*12000)/1000000</x:f>
        <x:v>0.254</x:v>
      </x:c>
      <x:c r="F15" s="154" t="inlineStr">
        <x:is>
          <x:t xml:space="preserve">SUM tiers</x:t>
        </x:is>
      </x:c>
      <x:c r="G15" s="154" t="inlineStr">
        <x:is>
          <x:t xml:space="preserve">EUR M</x:t>
        </x:is>
      </x:c>
      <x:c r="H15" s="162" t="inlineStr">
        <x:is>
          <x:t xml:space="preserve">Formula</x:t>
        </x:is>
      </x:c>
    </x:row>
    <x:row r="16">
      <x:c r="A16" s="13" t="n"/>
      <x:c r="B16" s="14" t="n"/>
      <x:c r="C16" s="14" t="n"/>
      <x:c r="D16" s="14" t="n"/>
      <x:c r="E16" s="14" t="n"/>
      <x:c r="F16" s="14" t="n"/>
      <x:c r="G16" s="14" t="n"/>
      <x:c r="H16" s="15" t="n"/>
    </x:row>
    <x:row r="17">
      <x:c r="A17" s="13" t="n"/>
      <x:c r="B17" s="14" t="n"/>
      <x:c r="C17" s="14" t="n"/>
      <x:c r="D17" s="14" t="n"/>
      <x:c r="E17" s="14" t="n"/>
      <x:c r="F17" s="14" t="n"/>
      <x:c r="G17" s="14" t="n"/>
      <x:c r="H17" s="15" t="n"/>
    </x:row>
    <x:row r="18">
      <x:c r="A18" s="116" t="inlineStr">
        <x:is>
          <x:t xml:space="preserve">Usage-Based Construction Asset OS</x:t>
        </x:is>
      </x:c>
      <x:c r="B18" s="117" t="str"/>
      <x:c r="C18" s="117" t="str"/>
      <x:c r="D18" s="117" t="str"/>
      <x:c r="E18" s="117" t="str"/>
      <x:c r="F18" s="117" t="str"/>
      <x:c r="G18" s="117" t="str"/>
      <x:c r="H18" s="118" t="str"/>
    </x:row>
    <x:row r="19">
      <x:c r="A19" s="114" t="inlineStr">
        <x:is>
          <x:t xml:space="preserve">Concepto</x:t>
        </x:is>
      </x:c>
      <x:c r="B19" s="115" t="inlineStr">
        <x:is>
          <x:t xml:space="preserve">2026/27</x:t>
        </x:is>
      </x:c>
      <x:c r="C19" s="115" t="inlineStr">
        <x:is>
          <x:t xml:space="preserve">2028</x:t>
        </x:is>
      </x:c>
      <x:c r="D19" s="115" t="inlineStr">
        <x:is>
          <x:t xml:space="preserve">2029</x:t>
        </x:is>
      </x:c>
      <x:c r="E19" s="115" t="inlineStr">
        <x:is>
          <x:t xml:space="preserve">2030</x:t>
        </x:is>
      </x:c>
      <x:c r="F19" s="115" t="inlineStr">
        <x:is>
          <x:t xml:space="preserve">Driver</x:t>
        </x:is>
      </x:c>
      <x:c r="G19" s="115" t="inlineStr">
        <x:is>
          <x:t xml:space="preserve">Formula</x:t>
        </x:is>
      </x:c>
      <x:c r="H19" s="129" t="inlineStr">
        <x:is>
          <x:t xml:space="preserve">Notas</x:t>
        </x:is>
      </x:c>
    </x:row>
    <x:row r="20">
      <x:c r="A20" s="13" t="inlineStr">
        <x:is>
          <x:t xml:space="preserve">Digitalizacion fabricante</x:t>
        </x:is>
      </x:c>
      <x:c r="B20" s="163" t="n">
        <x:f>'02_Detalle_Ingresos'!B10</x:f>
        <x:v>0.16999999999999998</x:v>
      </x:c>
      <x:c r="C20" s="163" t="n">
        <x:f>'02_Detalle_Ingresos'!C10</x:f>
        <x:v>0.37</x:v>
      </x:c>
      <x:c r="D20" s="163" t="n">
        <x:f>'02_Detalle_Ingresos'!D10</x:f>
        <x:v>0.7</x:v>
      </x:c>
      <x:c r="E20" s="163" t="n">
        <x:f>'02_Detalle_Ingresos'!E10</x:f>
        <x:v>0.9</x:v>
      </x:c>
      <x:c r="F20" s="14" t="inlineStr">
        <x:is>
          <x:t xml:space="preserve">Partner tiers</x:t>
        </x:is>
      </x:c>
      <x:c r="G20" s="14" t="inlineStr">
        <x:is>
          <x:t xml:space="preserve">Counts x tarifa / 1M</x:t>
        </x:is>
      </x:c>
      <x:c r="H20" s="15" t="inlineStr">
        <x:is>
          <x:t xml:space="preserve">Paquete de activacion de fabricante</x:t>
        </x:is>
      </x:c>
    </x:row>
    <x:row r="21">
      <x:c r="A21" s="13" t="inlineStr">
        <x:is>
          <x:t xml:space="preserve">Digitalizacion montaje</x:t>
        </x:is>
      </x:c>
      <x:c r="B21" s="163" t="n">
        <x:f>'02_Detalle_Ingresos'!B15</x:f>
        <x:v>0.075</x:v>
      </x:c>
      <x:c r="C21" s="163" t="n">
        <x:f>'02_Detalle_Ingresos'!C15</x:f>
        <x:v>0.24100000000000002</x:v>
      </x:c>
      <x:c r="D21" s="163" t="n">
        <x:f>'02_Detalle_Ingresos'!D15</x:f>
        <x:v>0.22999999999999998</x:v>
      </x:c>
      <x:c r="E21" s="163" t="n">
        <x:f>'02_Detalle_Ingresos'!E15</x:f>
        <x:v>0.254</x:v>
      </x:c>
      <x:c r="F21" s="14" t="inlineStr">
        <x:is>
          <x:t xml:space="preserve">Crew tiers</x:t>
        </x:is>
      </x:c>
      <x:c r="G21" s="14" t="inlineStr">
        <x:is>
          <x:t xml:space="preserve">Counts x tarifa / 1M</x:t>
        </x:is>
      </x:c>
      <x:c r="H21" s="15" t="inlineStr">
        <x:is>
          <x:t xml:space="preserve">Paquete de activacion de montadores</x:t>
        </x:is>
      </x:c>
    </x:row>
    <x:row r="22">
      <x:c r="A22" s="13" t="inlineStr">
        <x:is>
          <x:t xml:space="preserve">Fee de Red Fabricante</x:t>
        </x:is>
      </x:c>
      <x:c r="B22" s="163" t="n">
        <x:f>'01_Supuestos'!B8*'01_Supuestos'!B14/1000000</x:f>
        <x:v>0.75</x:v>
      </x:c>
      <x:c r="C22" s="163" t="n">
        <x:f>'01_Supuestos'!C8*'01_Supuestos'!C14/1000000</x:f>
        <x:v>2.900833333333333</x:v>
      </x:c>
      <x:c r="D22" s="163" t="n">
        <x:f>'01_Supuestos'!D8*'01_Supuestos'!D14/1000000</x:f>
        <x:v>5.038333333333333</x:v>
      </x:c>
      <x:c r="E22" s="163" t="n">
        <x:f>'01_Supuestos'!E8*'01_Supuestos'!E14/1000000</x:f>
        <x:v>7.588333333333334</x:v>
      </x:c>
      <x:c r="F22" s="14" t="inlineStr">
        <x:is>
          <x:t xml:space="preserve">m2 emitidos</x:t>
        </x:is>
      </x:c>
      <x:c r="G22" s="14" t="inlineStr">
        <x:is>
          <x:t xml:space="preserve">m2 x fee fabricante</x:t>
        </x:is>
      </x:c>
      <x:c r="H22" s="15" t="inlineStr">
        <x:is>
          <x:t xml:space="preserve">Trigger: m2 fabricados verificados</x:t>
        </x:is>
      </x:c>
    </x:row>
    <x:row r="23">
      <x:c r="A23" s="13" t="inlineStr">
        <x:is>
          <x:t xml:space="preserve">Fee de Red Montaje</x:t>
        </x:is>
      </x:c>
      <x:c r="B23" s="163" t="n">
        <x:f>'01_Supuestos'!B8*'01_Supuestos'!B15*'01_Supuestos'!B16/1000000</x:f>
        <x:v>0.6375</x:v>
      </x:c>
      <x:c r="C23" s="163" t="n">
        <x:f>'01_Supuestos'!C8*'01_Supuestos'!C15*'01_Supuestos'!C16/1000000</x:f>
        <x:v>2.61075</x:v>
      </x:c>
      <x:c r="D23" s="163" t="n">
        <x:f>'01_Supuestos'!D8*'01_Supuestos'!D15*'01_Supuestos'!D16/1000000</x:f>
        <x:v>4.68565</x:v>
      </x:c>
      <x:c r="E23" s="163" t="n">
        <x:f>'01_Supuestos'!E8*'01_Supuestos'!E15*'01_Supuestos'!E16/1000000</x:f>
        <x:v>7.208916666666667</x:v>
      </x:c>
      <x:c r="F23" s="14" t="inlineStr">
        <x:is>
          <x:t xml:space="preserve">m2 emitidos x cobertura</x:t>
        </x:is>
      </x:c>
      <x:c r="G23" s="14" t="inlineStr">
        <x:is>
          <x:t xml:space="preserve">m2 x fee x cobertura</x:t>
        </x:is>
      </x:c>
      <x:c r="H23" s="15" t="inlineStr">
        <x:is>
          <x:t xml:space="preserve">Trigger: m2 instalados/verificados</x:t>
        </x:is>
      </x:c>
    </x:row>
    <x:row r="24">
      <x:c r="A24" s="13" t="inlineStr">
        <x:is>
          <x:t xml:space="preserve">Designer</x:t>
        </x:is>
      </x:c>
      <x:c r="B24" s="163" t="n">
        <x:f>'01_Supuestos'!B8*'01_Supuestos'!B17*'01_Supuestos'!B18/1000000</x:f>
        <x:v>0.648</x:v>
      </x:c>
      <x:c r="C24" s="163" t="n">
        <x:f>'01_Supuestos'!C8*'01_Supuestos'!C17*'01_Supuestos'!C18/1000000</x:f>
        <x:v>2.896192</x:v>
      </x:c>
      <x:c r="D24" s="163" t="n">
        <x:f>'01_Supuestos'!D8*'01_Supuestos'!D17*'01_Supuestos'!D18/1000000</x:f>
        <x:v>5.453491999999999</x:v>
      </x:c>
      <x:c r="E24" s="163" t="n">
        <x:f>'01_Supuestos'!E8*'01_Supuestos'!E17*'01_Supuestos'!E18/1000000</x:f>
        <x:v>9.136353333333334</x:v>
      </x:c>
      <x:c r="F24" s="14" t="inlineStr">
        <x:is>
          <x:t xml:space="preserve">m2 emitidos</x:t>
        </x:is>
      </x:c>
      <x:c r="G24" s="14" t="inlineStr">
        <x:is>
          <x:t xml:space="preserve">m2 x precio x adopcion</x:t>
        </x:is>
      </x:c>
      <x:c r="H24" s="15" t="inlineStr">
        <x:is>
          <x:t xml:space="preserve">Diseno/generativo/API</x:t>
        </x:is>
      </x:c>
    </x:row>
    <x:row r="25">
      <x:c r="A25" s="13" t="inlineStr">
        <x:is>
          <x:t xml:space="preserve">Manager</x:t>
        </x:is>
      </x:c>
      <x:c r="B25" s="163" t="n">
        <x:f>'01_Supuestos'!B8*'01_Supuestos'!B19*'01_Supuestos'!B20/1000000</x:f>
        <x:v>0.6396</x:v>
      </x:c>
      <x:c r="C25" s="163" t="n">
        <x:f>'01_Supuestos'!C8*'01_Supuestos'!C19*'01_Supuestos'!C20/1000000</x:f>
        <x:v>2.756952</x:v>
      </x:c>
      <x:c r="D25" s="163" t="n">
        <x:f>'01_Supuestos'!D8*'01_Supuestos'!D19*'01_Supuestos'!D20/1000000</x:f>
        <x:v>5.191498666666667</x:v>
      </x:c>
      <x:c r="E25" s="163" t="n">
        <x:f>'01_Supuestos'!E8*'01_Supuestos'!E19*'01_Supuestos'!E20/1000000</x:f>
        <x:v>8.6507</x:v>
      </x:c>
      <x:c r="F25" s="14" t="inlineStr">
        <x:is>
          <x:t xml:space="preserve">m2 emitidos</x:t>
        </x:is>
      </x:c>
      <x:c r="G25" s="14" t="inlineStr">
        <x:is>
          <x:t xml:space="preserve">m2 x precio x adopcion</x:t>
        </x:is>
      </x:c>
      <x:c r="H25" s="15" t="inlineStr">
        <x:is>
          <x:t xml:space="preserve">Manager y project room</x:t>
        </x:is>
      </x:c>
    </x:row>
    <x:row r="26">
      <x:c r="A26" s="13" t="inlineStr">
        <x:is>
          <x:t xml:space="preserve">Asset Activation</x:t>
        </x:is>
      </x:c>
      <x:c r="B26" s="163" t="n">
        <x:f>'01_Supuestos'!B8*'01_Supuestos'!B21*'01_Supuestos'!B22/1000000</x:f>
        <x:v>1.32</x:v>
      </x:c>
      <x:c r="C26" s="163" t="n">
        <x:f>'01_Supuestos'!C8*'01_Supuestos'!C21*'01_Supuestos'!C22/1000000</x:f>
        <x:v>7.165058333333332</x:v>
      </x:c>
      <x:c r="D26" s="163" t="n">
        <x:f>'01_Supuestos'!D8*'01_Supuestos'!D21*'01_Supuestos'!D22/1000000</x:f>
        <x:v>13.442273333333334</x:v>
      </x:c>
      <x:c r="E26" s="163" t="n">
        <x:f>'01_Supuestos'!E8*'01_Supuestos'!E21*'01_Supuestos'!E22/1000000</x:f>
        <x:v>24.282666666666668</x:v>
      </x:c>
      <x:c r="F26" s="14" t="inlineStr">
        <x:is>
          <x:t xml:space="preserve">m2 emitidos</x:t>
        </x:is>
      </x:c>
      <x:c r="G26" s="14" t="inlineStr">
        <x:is>
          <x:t xml:space="preserve">m2 x precio x completion</x:t>
        </x:is>
      </x:c>
      <x:c r="H26" s="15" t="inlineStr">
        <x:is>
          <x:t xml:space="preserve">Activacion inicial del activo</x:t>
        </x:is>
      </x:c>
    </x:row>
    <x:row r="27">
      <x:c r="A27" s="13" t="inlineStr">
        <x:is>
          <x:t xml:space="preserve">POI Evidence Pack</x:t>
        </x:is>
      </x:c>
      <x:c r="B27" s="163" t="n">
        <x:f>'01_Supuestos'!B8*'01_Supuestos'!B23*(1+'01_Supuestos'!B24)*'01_Supuestos'!B25/1000000</x:f>
        <x:v>0.95472</x:v>
      </x:c>
      <x:c r="C27" s="163" t="n">
        <x:f>'01_Supuestos'!C8*'01_Supuestos'!C23*(1+'01_Supuestos'!C24)*'01_Supuestos'!C25/1000000</x:f>
        <x:v>5.352037499999999</x:v>
      </x:c>
      <x:c r="D27" s="163" t="n">
        <x:f>'01_Supuestos'!D8*'01_Supuestos'!D23*(1+'01_Supuestos'!D24)*'01_Supuestos'!D25/1000000</x:f>
        <x:v>11.12464</x:v>
      </x:c>
      <x:c r="E27" s="163" t="n">
        <x:f>'01_Supuestos'!E8*'01_Supuestos'!E23*(1+'01_Supuestos'!E24)*'01_Supuestos'!E25/1000000</x:f>
        <x:v>19.82452083333333</x:v>
      </x:c>
      <x:c r="F27" s="14" t="inlineStr">
        <x:is>
          <x:t xml:space="preserve">m2 emitidos</x:t>
        </x:is>
      </x:c>
      <x:c r="G27" s="14" t="inlineStr">
        <x:is>
          <x:t xml:space="preserve">m2 x precio x uplift x completion</x:t>
        </x:is>
      </x:c>
      <x:c r="H27" s="15" t="inlineStr">
        <x:is>
          <x:t xml:space="preserve">Prueba de instalacion</x:t>
        </x:is>
      </x:c>
    </x:row>
    <x:row r="28">
      <x:c r="A28" s="13" t="inlineStr">
        <x:is>
          <x:t xml:space="preserve">DPP / Carpeta Madre</x:t>
        </x:is>
      </x:c>
      <x:c r="B28" s="163" t="n">
        <x:f>'01_Supuestos'!B8*'01_Supuestos'!B26*(1+'01_Supuestos'!B27)*'01_Supuestos'!B28/1000000</x:f>
        <x:v>0.9166080000000001</x:v>
      </x:c>
      <x:c r="C28" s="163" t="n">
        <x:f>'01_Supuestos'!C8*'01_Supuestos'!C26*(1+'01_Supuestos'!C27)*'01_Supuestos'!C28/1000000</x:f>
        <x:v>5.332195799999999</x:v>
      </x:c>
      <x:c r="D28" s="163" t="n">
        <x:f>'01_Supuestos'!D8*'01_Supuestos'!D26*(1+'01_Supuestos'!D27)*'01_Supuestos'!D28/1000000</x:f>
        <x:v>12.162939733333333</x:v>
      </x:c>
      <x:c r="E28" s="163" t="n">
        <x:f>'01_Supuestos'!E8*'01_Supuestos'!E26*(1+'01_Supuestos'!E27)*'01_Supuestos'!E28/1000000</x:f>
        <x:v>23.038179999999997</x:v>
      </x:c>
      <x:c r="F28" s="14" t="inlineStr">
        <x:is>
          <x:t xml:space="preserve">m2 emitidos</x:t>
        </x:is>
      </x:c>
      <x:c r="G28" s="14" t="inlineStr">
        <x:is>
          <x:t xml:space="preserve">m2 x precio x uplift x completion</x:t>
        </x:is>
      </x:c>
      <x:c r="H28" s="15" t="inlineStr">
        <x:is>
          <x:t xml:space="preserve">Pasaporte/dossier vivo</x:t>
        </x:is>
      </x:c>
    </x:row>
    <x:row r="29">
      <x:c r="A29" s="13" t="inlineStr">
        <x:is>
          <x:t xml:space="preserve">Network Maintenance</x:t>
        </x:is>
      </x:c>
      <x:c r="B29" s="163" t="n">
        <x:f>'01_Supuestos'!B9*'01_Supuestos'!B29*(1+'01_Supuestos'!B30)*'01_Supuestos'!B31/1000000</x:f>
        <x:v>0.1482</x:v>
      </x:c>
      <x:c r="C29" s="163" t="n">
        <x:f>'01_Supuestos'!C9*'01_Supuestos'!C29*(1+'01_Supuestos'!C30)*'01_Supuestos'!C31/1000000</x:f>
        <x:v>1.4352156</x:v>
      </x:c>
      <x:c r="D29" s="163" t="n">
        <x:f>'01_Supuestos'!D9*'01_Supuestos'!D29*(1+'01_Supuestos'!D30)*'01_Supuestos'!D31/1000000</x:f>
        <x:v>4.0821705</x:v>
      </x:c>
      <x:c r="E29" s="163" t="n">
        <x:f>'01_Supuestos'!E9*'01_Supuestos'!E29*(1+'01_Supuestos'!E30)*'01_Supuestos'!E31/1000000</x:f>
        <x:v>12.579252</x:v>
      </x:c>
      <x:c r="F29" s="14" t="inlineStr">
        <x:is>
          <x:t xml:space="preserve">Stock vivo</x:t>
        </x:is>
      </x:c>
      <x:c r="G29" s="14" t="inlineStr">
        <x:is>
          <x:t xml:space="preserve">stock x precio x uplift x conversion</x:t>
        </x:is>
      </x:c>
      <x:c r="H29" s="15" t="inlineStr">
        <x:is>
          <x:t xml:space="preserve">Recurrencia sobre base instalada</x:t>
        </x:is>
      </x:c>
    </x:row>
    <x:row r="30">
      <x:c r="A30" s="13" t="inlineStr">
        <x:is>
          <x:t xml:space="preserve">Data Layers</x:t>
        </x:is>
      </x:c>
      <x:c r="B30" s="163" t="n">
        <x:f>'01_Supuestos'!B9*'01_Supuestos'!B32*(1+'01_Supuestos'!B33)*'01_Supuestos'!B34/1000000</x:f>
        <x:v>0.0864</x:v>
      </x:c>
      <x:c r="C30" s="163" t="n">
        <x:f>'01_Supuestos'!C9*'01_Supuestos'!C32*(1+'01_Supuestos'!C33)*'01_Supuestos'!C34/1000000</x:f>
        <x:v>0.8433425</x:v>
      </x:c>
      <x:c r="D30" s="163" t="n">
        <x:f>'01_Supuestos'!D9*'01_Supuestos'!D32*(1+'01_Supuestos'!D33)*'01_Supuestos'!D34/1000000</x:f>
        <x:v>3.7954279999999994</x:v>
      </x:c>
      <x:c r="E30" s="163" t="n">
        <x:f>'01_Supuestos'!E9*'01_Supuestos'!E32*(1+'01_Supuestos'!E33)*'01_Supuestos'!E34/1000000</x:f>
        <x:v>11.8838772</x:v>
      </x:c>
      <x:c r="F30" s="14" t="inlineStr">
        <x:is>
          <x:t xml:space="preserve">Stock vivo</x:t>
        </x:is>
      </x:c>
      <x:c r="G30" s="14" t="inlineStr">
        <x:is>
          <x:t xml:space="preserve">stock x precio x uplift x adopcion</x:t>
        </x:is>
      </x:c>
      <x:c r="H30" s="15" t="inlineStr">
        <x:is>
          <x:t xml:space="preserve">Datos, reporting, permisos</x:t>
        </x:is>
      </x:c>
    </x:row>
    <x:row r="31">
      <x:c r="A31" s="161" t="inlineStr">
        <x:is>
          <x:t xml:space="preserve">Total Usage-Based Construction Asset OS</x:t>
        </x:is>
      </x:c>
      <x:c r="B31" s="154" t="n">
        <x:f>SUM(B20:B30)</x:f>
        <x:v>6.3460280000000004</x:v>
      </x:c>
      <x:c r="C31" s="154" t="n">
        <x:f>SUM(C20:C30)</x:f>
        <x:v>31.903577066666664</x:v>
      </x:c>
      <x:c r="D31" s="154" t="n">
        <x:f>SUM(D20:D30)</x:f>
        <x:v>65.90642556666667</x:v>
      </x:c>
      <x:c r="E31" s="154" t="n">
        <x:f>SUM(E20:E30)</x:f>
        <x:v>125.34680003333334</x:v>
      </x:c>
      <x:c r="F31" s="154" t="inlineStr">
        <x:is>
          <x:t xml:space="preserve">Subtotal</x:t>
        </x:is>
      </x:c>
      <x:c r="G31" s="154" t="inlineStr">
        <x:is>
          <x:t xml:space="preserve">SUM</x:t>
        </x:is>
      </x:c>
      <x:c r="H31" s="162" t="inlineStr">
        <x:is>
          <x:t xml:space="preserve">Subtotal Asset OS</x:t>
        </x:is>
      </x:c>
    </x:row>
    <x:row r="32">
      <x:c r="A32" s="13" t="n"/>
      <x:c r="B32" s="14" t="n"/>
      <x:c r="C32" s="14" t="n"/>
      <x:c r="D32" s="14" t="n"/>
      <x:c r="E32" s="14" t="n"/>
      <x:c r="F32" s="14" t="n"/>
      <x:c r="G32" s="14" t="n"/>
      <x:c r="H32" s="15" t="n"/>
    </x:row>
    <x:row r="33">
      <x:c r="A33" s="13" t="n"/>
      <x:c r="B33" s="14" t="n"/>
      <x:c r="C33" s="14" t="n"/>
      <x:c r="D33" s="14" t="n"/>
      <x:c r="E33" s="14" t="n"/>
      <x:c r="F33" s="14" t="n"/>
      <x:c r="G33" s="14" t="n"/>
      <x:c r="H33" s="15" t="n"/>
    </x:row>
    <x:row r="34">
      <x:c r="A34" s="116" t="inlineStr">
        <x:is>
          <x:t xml:space="preserve">Verticales, marketplace y total ingresos</x:t>
        </x:is>
      </x:c>
      <x:c r="B34" s="117" t="str"/>
      <x:c r="C34" s="117" t="str"/>
      <x:c r="D34" s="117" t="str"/>
      <x:c r="E34" s="117" t="str"/>
      <x:c r="F34" s="117" t="str"/>
      <x:c r="G34" s="117" t="str"/>
      <x:c r="H34" s="118" t="str"/>
    </x:row>
    <x:row r="35">
      <x:c r="A35" s="114" t="inlineStr">
        <x:is>
          <x:t xml:space="preserve">Concepto</x:t>
        </x:is>
      </x:c>
      <x:c r="B35" s="115" t="inlineStr">
        <x:is>
          <x:t xml:space="preserve">2026/27</x:t>
        </x:is>
      </x:c>
      <x:c r="C35" s="115" t="inlineStr">
        <x:is>
          <x:t xml:space="preserve">2028</x:t>
        </x:is>
      </x:c>
      <x:c r="D35" s="115" t="inlineStr">
        <x:is>
          <x:t xml:space="preserve">2029</x:t>
        </x:is>
      </x:c>
      <x:c r="E35" s="115" t="inlineStr">
        <x:is>
          <x:t xml:space="preserve">2030</x:t>
        </x:is>
      </x:c>
      <x:c r="F35" s="115" t="inlineStr">
        <x:is>
          <x:t xml:space="preserve">Driver</x:t>
        </x:is>
      </x:c>
      <x:c r="G35" s="115" t="inlineStr">
        <x:is>
          <x:t xml:space="preserve">Formula</x:t>
        </x:is>
      </x:c>
      <x:c r="H35" s="129" t="inlineStr">
        <x:is>
          <x:t xml:space="preserve">Notas</x:t>
        </x:is>
      </x:c>
    </x:row>
    <x:row r="36">
      <x:c r="A36" s="13" t="inlineStr">
        <x:is>
          <x:t xml:space="preserve">iPath</x:t>
        </x:is>
      </x:c>
      <x:c r="B36" s="163" t="n">
        <x:f>'01_Supuestos'!B38</x:f>
        <x:v>2.39</x:v>
      </x:c>
      <x:c r="C36" s="163" t="n">
        <x:f>'01_Supuestos'!C38</x:f>
        <x:v>7.21</x:v>
      </x:c>
      <x:c r="D36" s="163" t="n">
        <x:f>'01_Supuestos'!D38</x:f>
        <x:v>16.01</x:v>
      </x:c>
      <x:c r="E36" s="163" t="n">
        <x:f>'01_Supuestos'!E38</x:f>
        <x:v>33.91</x:v>
      </x:c>
      <x:c r="F36" s="14" t="inlineStr">
        <x:is>
          <x:t xml:space="preserve">Input vertical</x:t>
        </x:is>
      </x:c>
      <x:c r="G36" s="14" t="inlineStr">
        <x:is>
          <x:t xml:space="preserve">Supuestos</x:t>
        </x:is>
      </x:c>
      <x:c r="H36" s="15" t="inlineStr">
        <x:is>
          <x:t xml:space="preserve">Infraestructura urbana industrializada</x:t>
        </x:is>
      </x:c>
    </x:row>
    <x:row r="37">
      <x:c r="A37" s="13" t="inlineStr">
        <x:is>
          <x:t xml:space="preserve">Moolde</x:t>
        </x:is>
      </x:c>
      <x:c r="B37" s="163" t="n">
        <x:f>'01_Supuestos'!B39</x:f>
        <x:v>0.2</x:v>
      </x:c>
      <x:c r="C37" s="163" t="n">
        <x:f>'01_Supuestos'!C39</x:f>
        <x:v>0.8</x:v>
      </x:c>
      <x:c r="D37" s="163" t="n">
        <x:f>'01_Supuestos'!D39</x:f>
        <x:v>1.8</x:v>
      </x:c>
      <x:c r="E37" s="163" t="n">
        <x:f>'01_Supuestos'!E39</x:f>
        <x:v>3</x:v>
      </x:c>
      <x:c r="F37" s="14" t="inlineStr">
        <x:is>
          <x:t xml:space="preserve">Input vertical</x:t>
        </x:is>
      </x:c>
      <x:c r="G37" s="14" t="inlineStr">
        <x:is>
          <x:t xml:space="preserve">Supuestos</x:t>
        </x:is>
      </x:c>
      <x:c r="H37" s="15" t="inlineStr">
        <x:is>
          <x:t xml:space="preserve">Circularidad/materiales</x:t>
        </x:is>
      </x:c>
    </x:row>
    <x:row r="38">
      <x:c r="A38" s="13" t="inlineStr">
        <x:is>
          <x:t xml:space="preserve">Internacional</x:t>
        </x:is>
      </x:c>
      <x:c r="B38" s="163" t="n">
        <x:f>'01_Supuestos'!B40</x:f>
        <x:v>0</x:v>
      </x:c>
      <x:c r="C38" s="163" t="n">
        <x:f>'01_Supuestos'!C40</x:f>
        <x:v>1.5</x:v>
      </x:c>
      <x:c r="D38" s="163" t="n">
        <x:f>'01_Supuestos'!D40</x:f>
        <x:v>4</x:v>
      </x:c>
      <x:c r="E38" s="163" t="n">
        <x:f>'01_Supuestos'!E40</x:f>
        <x:v>12</x:v>
      </x:c>
      <x:c r="F38" s="14" t="inlineStr">
        <x:is>
          <x:t xml:space="preserve">Input vertical</x:t>
        </x:is>
      </x:c>
      <x:c r="G38" s="14" t="inlineStr">
        <x:is>
          <x:t xml:space="preserve">Supuestos</x:t>
        </x:is>
      </x:c>
      <x:c r="H38" s="15" t="inlineStr">
        <x:is>
          <x:t xml:space="preserve">Expansion fuera de mercado inicial</x:t>
        </x:is>
      </x:c>
    </x:row>
    <x:row r="39">
      <x:c r="A39" s="13" t="inlineStr">
        <x:is>
          <x:t xml:space="preserve">Financial Layer</x:t>
        </x:is>
      </x:c>
      <x:c r="B39" s="163" t="n">
        <x:f>'01_Supuestos'!B41</x:f>
        <x:v>0.3</x:v>
      </x:c>
      <x:c r="C39" s="163" t="n">
        <x:f>'01_Supuestos'!C41</x:f>
        <x:v>1.2</x:v>
      </x:c>
      <x:c r="D39" s="163" t="n">
        <x:f>'01_Supuestos'!D41</x:f>
        <x:v>3</x:v>
      </x:c>
      <x:c r="E39" s="163" t="n">
        <x:f>'01_Supuestos'!E41</x:f>
        <x:v>9</x:v>
      </x:c>
      <x:c r="F39" s="14" t="inlineStr">
        <x:is>
          <x:t xml:space="preserve">Input vertical</x:t>
        </x:is>
      </x:c>
      <x:c r="G39" s="14" t="inlineStr">
        <x:is>
          <x:t xml:space="preserve">Supuestos</x:t>
        </x:is>
      </x:c>
      <x:c r="H39" s="15" t="inlineStr">
        <x:is>
          <x:t xml:space="preserve">Datos/servicios financieros</x:t>
        </x:is>
      </x:c>
    </x:row>
    <x:row r="40">
      <x:c r="A40" s="13" t="inlineStr">
        <x:is>
          <x:t xml:space="preserve">Marketplace</x:t>
        </x:is>
      </x:c>
      <x:c r="B40" s="163" t="n">
        <x:f>'01_Supuestos'!B9*'01_Supuestos'!B36*'01_Supuestos'!B35/1000000+'01_Supuestos'!B37</x:f>
        <x:v>0.331</x:v>
      </x:c>
      <x:c r="C40" s="163" t="n">
        <x:f>'01_Supuestos'!C9*'01_Supuestos'!C36*'01_Supuestos'!C35/1000000+'01_Supuestos'!C37</x:f>
        <x:v>1.2542293333333334</x:v>
      </x:c>
      <x:c r="D40" s="163" t="n">
        <x:f>'01_Supuestos'!D9*'01_Supuestos'!D36*'01_Supuestos'!D35/1000000+'01_Supuestos'!D37</x:f>
        <x:v>3.7024799999999995</x:v>
      </x:c>
      <x:c r="E40" s="163" t="n">
        <x:f>'01_Supuestos'!E9*'01_Supuestos'!E36*'01_Supuestos'!E35/1000000+'01_Supuestos'!E37</x:f>
        <x:v>8.77144</x:v>
      </x:c>
      <x:c r="F40" s="14" t="inlineStr">
        <x:is>
          <x:t xml:space="preserve">Stock vivo</x:t>
        </x:is>
      </x:c>
      <x:c r="G40" s="14" t="inlineStr">
        <x:is>
          <x:t xml:space="preserve">stock x fee x penetracion + premium</x:t>
        </x:is>
      </x:c>
      <x:c r="H40" s="15" t="inlineStr">
        <x:is>
          <x:t xml:space="preserve">Canal y servicios sobre red</x:t>
        </x:is>
      </x:c>
    </x:row>
    <x:row r="41">
      <x:c r="A41" s="13" t="str"/>
      <x:c r="B41" s="163" t="str"/>
      <x:c r="C41" s="163" t="str"/>
      <x:c r="D41" s="163" t="str"/>
      <x:c r="E41" s="163" t="str"/>
      <x:c r="F41" s="14" t="str"/>
      <x:c r="G41" s="14" t="str"/>
      <x:c r="H41" s="15" t="str"/>
    </x:row>
    <x:row r="42">
      <x:c r="A42" s="161" t="inlineStr">
        <x:is>
          <x:t xml:space="preserve">TOTAL INGRESOS</x:t>
        </x:is>
      </x:c>
      <x:c r="B42" s="154" t="n">
        <x:f>B31+SUM(B36:B40)</x:f>
        <x:v>9.567028</x:v>
      </x:c>
      <x:c r="C42" s="154" t="n">
        <x:f>C31+SUM(C36:C40)</x:f>
        <x:v>43.86780639999999</x:v>
      </x:c>
      <x:c r="D42" s="154" t="n">
        <x:f>D31+SUM(D36:D40)</x:f>
        <x:v>94.41890556666667</x:v>
      </x:c>
      <x:c r="E42" s="154" t="n">
        <x:f>E31+SUM(E36:E40)</x:f>
        <x:v>192.02824003333333</x:v>
      </x:c>
      <x:c r="F42" s="154" t="inlineStr">
        <x:is>
          <x:t xml:space="preserve">Total</x:t>
        </x:is>
      </x:c>
      <x:c r="G42" s="154" t="inlineStr">
        <x:is>
          <x:t xml:space="preserve">Asset OS + verticales</x:t>
        </x:is>
      </x:c>
      <x:c r="H42" s="162" t="inlineStr">
        <x:is>
          <x:t xml:space="preserve">Ingresos totales del plan</x:t>
        </x:is>
      </x:c>
    </x:row>
    <x:row r="43">
      <x:c r="A43" s="13" t="inlineStr">
        <x:is>
          <x:t xml:space="preserve">m2 emitidos</x:t>
        </x:is>
      </x:c>
      <x:c r="B43" s="157" t="n">
        <x:f>'01_Supuestos'!B8</x:f>
        <x:v>300000</x:v>
      </x:c>
      <x:c r="C43" s="157" t="n">
        <x:f>'01_Supuestos'!C8</x:f>
        <x:v>1160333.3333333333</x:v>
      </x:c>
      <x:c r="D43" s="157" t="n">
        <x:f>'01_Supuestos'!D8</x:f>
        <x:v>2015333.3333333333</x:v>
      </x:c>
      <x:c r="E43" s="157" t="n">
        <x:f>'01_Supuestos'!E8</x:f>
        <x:v>3035333.3333333335</x:v>
      </x:c>
      <x:c r="F43" s="14" t="inlineStr">
        <x:is>
          <x:t xml:space="preserve">Driver</x:t>
        </x:is>
      </x:c>
      <x:c r="G43" s="14" t="inlineStr">
        <x:is>
          <x:t xml:space="preserve">Supuestos</x:t>
        </x:is>
      </x:c>
      <x:c r="H43" s="15" t="str"/>
    </x:row>
    <x:row r="44">
      <x:c r="A44" s="13" t="inlineStr">
        <x:is>
          <x:t xml:space="preserve">Stock vivo</x:t>
        </x:is>
      </x:c>
      <x:c r="B44" s="157" t="n">
        <x:f>'01_Supuestos'!B9</x:f>
        <x:v>300000</x:v>
      </x:c>
      <x:c r="C44" s="157" t="n">
        <x:f>'01_Supuestos'!C9</x:f>
        <x:v>1460333.3333333333</x:v>
      </x:c>
      <x:c r="D44" s="157" t="n">
        <x:f>'01_Supuestos'!D9</x:f>
        <x:v>3475666.6666666665</x:v>
      </x:c>
      <x:c r="E44" s="157" t="n">
        <x:f>'01_Supuestos'!E9</x:f>
        <x:v>6511000</x:v>
      </x:c>
      <x:c r="F44" s="14" t="inlineStr">
        <x:is>
          <x:t xml:space="preserve">Driver</x:t>
        </x:is>
      </x:c>
      <x:c r="G44" s="14" t="inlineStr">
        <x:is>
          <x:t xml:space="preserve">Supuestos</x:t>
        </x:is>
      </x:c>
      <x:c r="H44" s="15" t="str"/>
    </x:row>
    <x:row r="45">
      <x:c r="A45" s="13" t="n"/>
      <x:c r="B45" s="14" t="n"/>
      <x:c r="C45" s="14" t="n"/>
      <x:c r="D45" s="14" t="n"/>
      <x:c r="E45" s="14" t="n"/>
      <x:c r="F45" s="14" t="n"/>
      <x:c r="G45" s="14" t="n"/>
      <x:c r="H45" s="15" t="n"/>
    </x:row>
    <x:row r="46">
      <x:c r="A46" s="13" t="n"/>
      <x:c r="B46" s="14" t="n"/>
      <x:c r="C46" s="14" t="n"/>
      <x:c r="D46" s="14" t="n"/>
      <x:c r="E46" s="14" t="n"/>
      <x:c r="F46" s="14" t="n"/>
      <x:c r="G46" s="14" t="n"/>
      <x:c r="H46" s="15" t="n"/>
    </x:row>
    <x:row r="47">
      <x:c r="A47" s="13" t="n"/>
      <x:c r="B47" s="14" t="n"/>
      <x:c r="C47" s="14" t="n"/>
      <x:c r="D47" s="14" t="n"/>
      <x:c r="E47" s="14" t="n"/>
      <x:c r="F47" s="14" t="n"/>
      <x:c r="G47" s="14" t="n"/>
      <x:c r="H47" s="15" t="n"/>
    </x:row>
    <x:row r="48">
      <x:c r="A48" s="13" t="n"/>
      <x:c r="B48" s="14" t="n"/>
      <x:c r="C48" s="14" t="n"/>
      <x:c r="D48" s="14" t="n"/>
      <x:c r="E48" s="14" t="n"/>
      <x:c r="F48" s="14" t="n"/>
      <x:c r="G48" s="14" t="n"/>
      <x:c r="H48" s="15" t="n"/>
    </x:row>
    <x:row r="49">
      <x:c r="A49" s="13" t="n"/>
      <x:c r="B49" s="14" t="n"/>
      <x:c r="C49" s="14" t="n"/>
      <x:c r="D49" s="14" t="n"/>
      <x:c r="E49" s="14" t="n"/>
      <x:c r="F49" s="14" t="n"/>
      <x:c r="G49" s="14" t="n"/>
      <x:c r="H49" s="15" t="n"/>
    </x:row>
    <x:row r="50">
      <x:c r="A50" s="13" t="n"/>
      <x:c r="B50" s="14" t="n"/>
      <x:c r="C50" s="14" t="n"/>
      <x:c r="D50" s="14" t="n"/>
      <x:c r="E50" s="14" t="n"/>
      <x:c r="F50" s="14" t="n"/>
      <x:c r="G50" s="14" t="n"/>
      <x:c r="H50" s="15" t="n"/>
    </x:row>
    <x:row r="51">
      <x:c r="A51" s="13" t="n"/>
      <x:c r="B51" s="14" t="n"/>
      <x:c r="C51" s="14" t="n"/>
      <x:c r="D51" s="14" t="n"/>
      <x:c r="E51" s="14" t="n"/>
      <x:c r="F51" s="14" t="n"/>
      <x:c r="G51" s="14" t="n"/>
      <x:c r="H51" s="15" t="n"/>
    </x:row>
    <x:row r="52">
      <x:c r="A52" s="13" t="n"/>
      <x:c r="B52" s="14" t="n"/>
      <x:c r="C52" s="14" t="n"/>
      <x:c r="D52" s="14" t="n"/>
      <x:c r="E52" s="14" t="n"/>
      <x:c r="F52" s="14" t="n"/>
      <x:c r="G52" s="14" t="n"/>
      <x:c r="H52" s="15" t="n"/>
    </x:row>
    <x:row r="53">
      <x:c r="A53" s="13" t="n"/>
      <x:c r="B53" s="14" t="n"/>
      <x:c r="C53" s="14" t="n"/>
      <x:c r="D53" s="14" t="n"/>
      <x:c r="E53" s="14" t="n"/>
      <x:c r="F53" s="14" t="n"/>
      <x:c r="G53" s="14" t="n"/>
      <x:c r="H53" s="15" t="n"/>
    </x:row>
    <x:row r="54">
      <x:c r="A54" s="13" t="n"/>
      <x:c r="B54" s="14" t="n"/>
      <x:c r="C54" s="14" t="n"/>
      <x:c r="D54" s="14" t="n"/>
      <x:c r="E54" s="14" t="n"/>
      <x:c r="F54" s="14" t="n"/>
      <x:c r="G54" s="14" t="n"/>
      <x:c r="H54" s="15" t="n"/>
    </x:row>
    <x:row r="55">
      <x:c r="A55" s="13" t="n"/>
      <x:c r="B55" s="14" t="n"/>
      <x:c r="C55" s="14" t="n"/>
      <x:c r="D55" s="14" t="n"/>
      <x:c r="E55" s="14" t="n"/>
      <x:c r="F55" s="14" t="n"/>
      <x:c r="G55" s="14" t="n"/>
      <x:c r="H55" s="15" t="n"/>
    </x:row>
    <x:row r="56">
      <x:c r="A56" s="13" t="n"/>
      <x:c r="B56" s="14" t="n"/>
      <x:c r="C56" s="14" t="n"/>
      <x:c r="D56" s="14" t="n"/>
      <x:c r="E56" s="14" t="n"/>
      <x:c r="F56" s="14" t="n"/>
      <x:c r="G56" s="14" t="n"/>
      <x:c r="H56" s="15" t="n"/>
    </x:row>
    <x:row r="57">
      <x:c r="A57" s="13" t="n"/>
      <x:c r="B57" s="14" t="n"/>
      <x:c r="C57" s="14" t="n"/>
      <x:c r="D57" s="14" t="n"/>
      <x:c r="E57" s="14" t="n"/>
      <x:c r="F57" s="14" t="n"/>
      <x:c r="G57" s="14" t="n"/>
      <x:c r="H57" s="15" t="n"/>
    </x:row>
    <x:row r="58">
      <x:c r="A58" s="13" t="n"/>
      <x:c r="B58" s="14" t="n"/>
      <x:c r="C58" s="14" t="n"/>
      <x:c r="D58" s="14" t="n"/>
      <x:c r="E58" s="14" t="n"/>
      <x:c r="F58" s="14" t="n"/>
      <x:c r="G58" s="14" t="n"/>
      <x:c r="H58" s="15" t="n"/>
    </x:row>
    <x:row r="59">
      <x:c r="A59" s="13" t="n"/>
      <x:c r="B59" s="14" t="n"/>
      <x:c r="C59" s="14" t="n"/>
      <x:c r="D59" s="14" t="n"/>
      <x:c r="E59" s="14" t="n"/>
      <x:c r="F59" s="14" t="n"/>
      <x:c r="G59" s="14" t="n"/>
      <x:c r="H59" s="15" t="n"/>
    </x:row>
    <x:row r="60">
      <x:c r="A60" s="13" t="n"/>
      <x:c r="B60" s="14" t="n"/>
      <x:c r="C60" s="14" t="n"/>
      <x:c r="D60" s="14" t="n"/>
      <x:c r="E60" s="14" t="n"/>
      <x:c r="F60" s="14" t="n"/>
      <x:c r="G60" s="14" t="n"/>
      <x:c r="H60" s="15" t="n"/>
    </x:row>
    <x:row r="61">
      <x:c r="A61" s="13" t="n"/>
      <x:c r="B61" s="14" t="n"/>
      <x:c r="C61" s="14" t="n"/>
      <x:c r="D61" s="14" t="n"/>
      <x:c r="E61" s="14" t="n"/>
      <x:c r="F61" s="14" t="n"/>
      <x:c r="G61" s="14" t="n"/>
      <x:c r="H61" s="15" t="n"/>
    </x:row>
    <x:row r="62">
      <x:c r="A62" s="13" t="n"/>
      <x:c r="B62" s="14" t="n"/>
      <x:c r="C62" s="14" t="n"/>
      <x:c r="D62" s="14" t="n"/>
      <x:c r="E62" s="14" t="n"/>
      <x:c r="F62" s="14" t="n"/>
      <x:c r="G62" s="14" t="n"/>
      <x:c r="H62" s="15" t="n"/>
    </x:row>
    <x:row r="63">
      <x:c r="A63" s="13" t="n"/>
      <x:c r="B63" s="14" t="n"/>
      <x:c r="C63" s="14" t="n"/>
      <x:c r="D63" s="14" t="n"/>
      <x:c r="E63" s="14" t="n"/>
      <x:c r="F63" s="14" t="n"/>
      <x:c r="G63" s="14" t="n"/>
      <x:c r="H63" s="15" t="n"/>
    </x:row>
    <x:row r="64">
      <x:c r="A64" s="13" t="n"/>
      <x:c r="B64" s="14" t="n"/>
      <x:c r="C64" s="14" t="n"/>
      <x:c r="D64" s="14" t="n"/>
      <x:c r="E64" s="14" t="n"/>
      <x:c r="F64" s="14" t="n"/>
      <x:c r="G64" s="14" t="n"/>
      <x:c r="H64" s="15" t="n"/>
    </x:row>
    <x:row r="65">
      <x:c r="A65" s="13" t="n"/>
      <x:c r="B65" s="14" t="n"/>
      <x:c r="C65" s="14" t="n"/>
      <x:c r="D65" s="14" t="n"/>
      <x:c r="E65" s="14" t="n"/>
      <x:c r="F65" s="14" t="n"/>
      <x:c r="G65" s="14" t="n"/>
      <x:c r="H65" s="15" t="n"/>
    </x:row>
    <x:row r="66">
      <x:c r="A66" s="13" t="n"/>
      <x:c r="B66" s="14" t="n"/>
      <x:c r="C66" s="14" t="n"/>
      <x:c r="D66" s="14" t="n"/>
      <x:c r="E66" s="14" t="n"/>
      <x:c r="F66" s="14" t="n"/>
      <x:c r="G66" s="14" t="n"/>
      <x:c r="H66" s="15" t="n"/>
    </x:row>
    <x:row r="67">
      <x:c r="A67" s="13" t="n"/>
      <x:c r="B67" s="14" t="n"/>
      <x:c r="C67" s="14" t="n"/>
      <x:c r="D67" s="14" t="n"/>
      <x:c r="E67" s="14" t="n"/>
      <x:c r="F67" s="14" t="n"/>
      <x:c r="G67" s="14" t="n"/>
      <x:c r="H67" s="15" t="n"/>
    </x:row>
    <x:row r="68">
      <x:c r="A68" s="13" t="n"/>
      <x:c r="B68" s="14" t="n"/>
      <x:c r="C68" s="14" t="n"/>
      <x:c r="D68" s="14" t="n"/>
      <x:c r="E68" s="14" t="n"/>
      <x:c r="F68" s="14" t="n"/>
      <x:c r="G68" s="14" t="n"/>
      <x:c r="H68" s="15" t="n"/>
    </x:row>
    <x:row r="69">
      <x:c r="A69" s="13" t="n"/>
      <x:c r="B69" s="14" t="n"/>
      <x:c r="C69" s="14" t="n"/>
      <x:c r="D69" s="14" t="n"/>
      <x:c r="E69" s="14" t="n"/>
      <x:c r="F69" s="14" t="n"/>
      <x:c r="G69" s="14" t="n"/>
      <x:c r="H69" s="15" t="n"/>
    </x:row>
    <x:row r="70">
      <x:c r="A70" s="13" t="n"/>
      <x:c r="B70" s="14" t="n"/>
      <x:c r="C70" s="14" t="n"/>
      <x:c r="D70" s="14" t="n"/>
      <x:c r="E70" s="14" t="n"/>
      <x:c r="F70" s="14" t="n"/>
      <x:c r="G70" s="14" t="n"/>
      <x:c r="H70" s="15" t="n"/>
    </x:row>
    <x:row r="71">
      <x:c r="A71" s="13" t="n"/>
      <x:c r="B71" s="14" t="n"/>
      <x:c r="C71" s="14" t="n"/>
      <x:c r="D71" s="14" t="n"/>
      <x:c r="E71" s="14" t="n"/>
      <x:c r="F71" s="14" t="n"/>
      <x:c r="G71" s="14" t="n"/>
      <x:c r="H71" s="15" t="n"/>
    </x:row>
    <x:row r="72">
      <x:c r="A72" s="13" t="n"/>
      <x:c r="B72" s="14" t="n"/>
      <x:c r="C72" s="14" t="n"/>
      <x:c r="D72" s="14" t="n"/>
      <x:c r="E72" s="14" t="n"/>
      <x:c r="F72" s="14" t="n"/>
      <x:c r="G72" s="14" t="n"/>
      <x:c r="H72" s="15" t="n"/>
    </x:row>
    <x:row r="73">
      <x:c r="A73" s="13" t="n"/>
      <x:c r="B73" s="14" t="n"/>
      <x:c r="C73" s="14" t="n"/>
      <x:c r="D73" s="14" t="n"/>
      <x:c r="E73" s="14" t="n"/>
      <x:c r="F73" s="14" t="n"/>
      <x:c r="G73" s="14" t="n"/>
      <x:c r="H73" s="15" t="n"/>
    </x:row>
    <x:row r="74">
      <x:c r="A74" s="13" t="n"/>
      <x:c r="B74" s="14" t="n"/>
      <x:c r="C74" s="14" t="n"/>
      <x:c r="D74" s="14" t="n"/>
      <x:c r="E74" s="14" t="n"/>
      <x:c r="F74" s="14" t="n"/>
      <x:c r="G74" s="14" t="n"/>
      <x:c r="H74" s="15" t="n"/>
    </x:row>
    <x:row r="75">
      <x:c r="A75" s="13" t="n"/>
      <x:c r="B75" s="14" t="n"/>
      <x:c r="C75" s="14" t="n"/>
      <x:c r="D75" s="14" t="n"/>
      <x:c r="E75" s="14" t="n"/>
      <x:c r="F75" s="14" t="n"/>
      <x:c r="G75" s="14" t="n"/>
      <x:c r="H75" s="15" t="n"/>
    </x:row>
    <x:row r="76">
      <x:c r="A76" s="13" t="n"/>
      <x:c r="B76" s="14" t="n"/>
      <x:c r="C76" s="14" t="n"/>
      <x:c r="D76" s="14" t="n"/>
      <x:c r="E76" s="14" t="n"/>
      <x:c r="F76" s="14" t="n"/>
      <x:c r="G76" s="14" t="n"/>
      <x:c r="H76" s="15" t="n"/>
    </x:row>
    <x:row r="77">
      <x:c r="A77" s="13" t="n"/>
      <x:c r="B77" s="14" t="n"/>
      <x:c r="C77" s="14" t="n"/>
      <x:c r="D77" s="14" t="n"/>
      <x:c r="E77" s="14" t="n"/>
      <x:c r="F77" s="14" t="n"/>
      <x:c r="G77" s="14" t="n"/>
      <x:c r="H77" s="15" t="n"/>
    </x:row>
    <x:row r="78">
      <x:c r="A78" s="13" t="n"/>
      <x:c r="B78" s="14" t="n"/>
      <x:c r="C78" s="14" t="n"/>
      <x:c r="D78" s="14" t="n"/>
      <x:c r="E78" s="14" t="n"/>
      <x:c r="F78" s="14" t="n"/>
      <x:c r="G78" s="14" t="n"/>
      <x:c r="H78" s="15" t="n"/>
    </x:row>
    <x:row r="79">
      <x:c r="A79" s="13" t="n"/>
      <x:c r="B79" s="14" t="n"/>
      <x:c r="C79" s="14" t="n"/>
      <x:c r="D79" s="14" t="n"/>
      <x:c r="E79" s="14" t="n"/>
      <x:c r="F79" s="14" t="n"/>
      <x:c r="G79" s="14" t="n"/>
      <x:c r="H79" s="15" t="n"/>
    </x:row>
    <x:row r="80">
      <x:c r="A80" s="13" t="n"/>
      <x:c r="B80" s="14" t="n"/>
      <x:c r="C80" s="14" t="n"/>
      <x:c r="D80" s="14" t="n"/>
      <x:c r="E80" s="14" t="n"/>
      <x:c r="F80" s="14" t="n"/>
      <x:c r="G80" s="14" t="n"/>
      <x:c r="H80" s="15" t="n"/>
    </x:row>
    <x:row r="81">
      <x:c r="A81" s="13" t="n"/>
      <x:c r="B81" s="14" t="n"/>
      <x:c r="C81" s="14" t="n"/>
      <x:c r="D81" s="14" t="n"/>
      <x:c r="E81" s="14" t="n"/>
      <x:c r="F81" s="14" t="n"/>
      <x:c r="G81" s="14" t="n"/>
      <x:c r="H81" s="15" t="n"/>
    </x:row>
    <x:row r="82">
      <x:c r="A82" s="13" t="n"/>
      <x:c r="B82" s="14" t="n"/>
      <x:c r="C82" s="14" t="n"/>
      <x:c r="D82" s="14" t="n"/>
      <x:c r="E82" s="14" t="n"/>
      <x:c r="F82" s="14" t="n"/>
      <x:c r="G82" s="14" t="n"/>
      <x:c r="H82" s="15" t="n"/>
    </x:row>
    <x:row r="83">
      <x:c r="A83" s="13" t="n"/>
      <x:c r="B83" s="14" t="n"/>
      <x:c r="C83" s="14" t="n"/>
      <x:c r="D83" s="14" t="n"/>
      <x:c r="E83" s="14" t="n"/>
      <x:c r="F83" s="14" t="n"/>
      <x:c r="G83" s="14" t="n"/>
      <x:c r="H83" s="15" t="n"/>
    </x:row>
    <x:row r="84">
      <x:c r="A84" s="13" t="n"/>
      <x:c r="B84" s="14" t="n"/>
      <x:c r="C84" s="14" t="n"/>
      <x:c r="D84" s="14" t="n"/>
      <x:c r="E84" s="14" t="n"/>
      <x:c r="F84" s="14" t="n"/>
      <x:c r="G84" s="14" t="n"/>
      <x:c r="H84" s="15" t="n"/>
    </x:row>
    <x:row r="85">
      <x:c r="A85" s="13" t="n"/>
      <x:c r="B85" s="14" t="n"/>
      <x:c r="C85" s="14" t="n"/>
      <x:c r="D85" s="14" t="n"/>
      <x:c r="E85" s="14" t="n"/>
      <x:c r="F85" s="14" t="n"/>
      <x:c r="G85" s="14" t="n"/>
      <x:c r="H85" s="15" t="n"/>
    </x:row>
    <x:row r="86">
      <x:c r="A86" s="13" t="n"/>
      <x:c r="B86" s="14" t="n"/>
      <x:c r="C86" s="14" t="n"/>
      <x:c r="D86" s="14" t="n"/>
      <x:c r="E86" s="14" t="n"/>
      <x:c r="F86" s="14" t="n"/>
      <x:c r="G86" s="14" t="n"/>
      <x:c r="H86" s="15" t="n"/>
    </x:row>
    <x:row r="87">
      <x:c r="A87" s="13" t="n"/>
      <x:c r="B87" s="14" t="n"/>
      <x:c r="C87" s="14" t="n"/>
      <x:c r="D87" s="14" t="n"/>
      <x:c r="E87" s="14" t="n"/>
      <x:c r="F87" s="14" t="n"/>
      <x:c r="G87" s="14" t="n"/>
      <x:c r="H87" s="15" t="n"/>
    </x:row>
    <x:row r="88">
      <x:c r="A88" s="13" t="n"/>
      <x:c r="B88" s="14" t="n"/>
      <x:c r="C88" s="14" t="n"/>
      <x:c r="D88" s="14" t="n"/>
      <x:c r="E88" s="14" t="n"/>
      <x:c r="F88" s="14" t="n"/>
      <x:c r="G88" s="14" t="n"/>
      <x:c r="H88" s="15" t="n"/>
    </x:row>
    <x:row r="89">
      <x:c r="A89" s="13" t="n"/>
      <x:c r="B89" s="14" t="n"/>
      <x:c r="C89" s="14" t="n"/>
      <x:c r="D89" s="14" t="n"/>
      <x:c r="E89" s="14" t="n"/>
      <x:c r="F89" s="14" t="n"/>
      <x:c r="G89" s="14" t="n"/>
      <x:c r="H89" s="15" t="n"/>
    </x:row>
    <x:row r="90">
      <x:c r="A90" s="13" t="n"/>
      <x:c r="B90" s="14" t="n"/>
      <x:c r="C90" s="14" t="n"/>
      <x:c r="D90" s="14" t="n"/>
      <x:c r="E90" s="14" t="n"/>
      <x:c r="F90" s="14" t="n"/>
      <x:c r="G90" s="14" t="n"/>
      <x:c r="H90" s="15" t="n"/>
    </x:row>
    <x:row r="91">
      <x:c r="A91" s="13" t="n"/>
      <x:c r="B91" s="14" t="n"/>
      <x:c r="C91" s="14" t="n"/>
      <x:c r="D91" s="14" t="n"/>
      <x:c r="E91" s="14" t="n"/>
      <x:c r="F91" s="14" t="n"/>
      <x:c r="G91" s="14" t="n"/>
      <x:c r="H91" s="15" t="n"/>
    </x:row>
    <x:row r="92">
      <x:c r="A92" s="13" t="n"/>
      <x:c r="B92" s="14" t="n"/>
      <x:c r="C92" s="14" t="n"/>
      <x:c r="D92" s="14" t="n"/>
      <x:c r="E92" s="14" t="n"/>
      <x:c r="F92" s="14" t="n"/>
      <x:c r="G92" s="14" t="n"/>
      <x:c r="H92" s="15" t="n"/>
    </x:row>
    <x:row r="93">
      <x:c r="A93" s="13" t="n"/>
      <x:c r="B93" s="14" t="n"/>
      <x:c r="C93" s="14" t="n"/>
      <x:c r="D93" s="14" t="n"/>
      <x:c r="E93" s="14" t="n"/>
      <x:c r="F93" s="14" t="n"/>
      <x:c r="G93" s="14" t="n"/>
      <x:c r="H93" s="15" t="n"/>
    </x:row>
    <x:row r="94">
      <x:c r="A94" s="13" t="n"/>
      <x:c r="B94" s="14" t="n"/>
      <x:c r="C94" s="14" t="n"/>
      <x:c r="D94" s="14" t="n"/>
      <x:c r="E94" s="14" t="n"/>
      <x:c r="F94" s="14" t="n"/>
      <x:c r="G94" s="14" t="n"/>
      <x:c r="H94" s="15" t="n"/>
    </x:row>
    <x:row r="95">
      <x:c r="A95" s="13" t="n"/>
      <x:c r="B95" s="14" t="n"/>
      <x:c r="C95" s="14" t="n"/>
      <x:c r="D95" s="14" t="n"/>
      <x:c r="E95" s="14" t="n"/>
      <x:c r="F95" s="14" t="n"/>
      <x:c r="G95" s="14" t="n"/>
      <x:c r="H95" s="15" t="n"/>
    </x:row>
    <x:row r="96">
      <x:c r="A96" s="13" t="n"/>
      <x:c r="B96" s="14" t="n"/>
      <x:c r="C96" s="14" t="n"/>
      <x:c r="D96" s="14" t="n"/>
      <x:c r="E96" s="14" t="n"/>
      <x:c r="F96" s="14" t="n"/>
      <x:c r="G96" s="14" t="n"/>
      <x:c r="H96" s="15" t="n"/>
    </x:row>
    <x:row r="97">
      <x:c r="A97" s="13" t="n"/>
      <x:c r="B97" s="14" t="n"/>
      <x:c r="C97" s="14" t="n"/>
      <x:c r="D97" s="14" t="n"/>
      <x:c r="E97" s="14" t="n"/>
      <x:c r="F97" s="14" t="n"/>
      <x:c r="G97" s="14" t="n"/>
      <x:c r="H97" s="15" t="n"/>
    </x:row>
    <x:row r="98">
      <x:c r="A98" s="13" t="n"/>
      <x:c r="B98" s="14" t="n"/>
      <x:c r="C98" s="14" t="n"/>
      <x:c r="D98" s="14" t="n"/>
      <x:c r="E98" s="14" t="n"/>
      <x:c r="F98" s="14" t="n"/>
      <x:c r="G98" s="14" t="n"/>
      <x:c r="H98" s="15" t="n"/>
    </x:row>
    <x:row r="99">
      <x:c r="A99" s="13" t="n"/>
      <x:c r="B99" s="14" t="n"/>
      <x:c r="C99" s="14" t="n"/>
      <x:c r="D99" s="14" t="n"/>
      <x:c r="E99" s="14" t="n"/>
      <x:c r="F99" s="14" t="n"/>
      <x:c r="G99" s="14" t="n"/>
      <x:c r="H99" s="15" t="n"/>
    </x:row>
    <x:row r="100">
      <x:c r="A100" s="16" t="n"/>
      <x:c r="B100" s="17" t="n"/>
      <x:c r="C100" s="17" t="n"/>
      <x:c r="D100" s="17" t="n"/>
      <x:c r="E100" s="17" t="n"/>
      <x:c r="F100" s="17" t="n"/>
      <x:c r="G100" s="17" t="n"/>
      <x:c r="H100" s="18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4" customWidth="1"/>
    <x:col min="3" max="3" width="20" customWidth="1"/>
    <x:col min="4" max="4" width="11" customWidth="1"/>
    <x:col min="5" max="5" width="11" customWidth="1"/>
    <x:col min="6" max="6" width="11" customWidth="1"/>
    <x:col min="7" max="7" width="11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>
      <x:c r="A1" s="107" t="inlineStr">
        <x:is>
          <x:t xml:space="preserve">03 Detalle de personal</x:t>
        </x:is>
      </x:c>
      <x:c r="B1" s="108" t="str"/>
      <x:c r="C1" s="108" t="str"/>
      <x:c r="D1" s="108" t="str"/>
      <x:c r="E1" s="108" t="str"/>
      <x:c r="F1" s="109" t="str"/>
      <x:c r="G1" s="109" t="str"/>
      <x:c r="H1" s="109" t="str"/>
      <x:c r="I1" s="108" t="str"/>
      <x:c r="J1" s="108" t="str"/>
      <x:c r="K1" s="132" t="str"/>
    </x:row>
    <x:row r="2">
      <x:c r="A2" s="111" t="inlineStr">
        <x:is>
          <x:t xml:space="preserve">Perfiles, departamentos, sueldo base, FTE por tramo y coste empresa total. Los salarios crecen con las hipotesis de 01_Supuestos.</x:t>
        </x:is>
      </x:c>
      <x:c r="B2" s="112" t="str"/>
      <x:c r="C2" s="112" t="str"/>
      <x:c r="D2" s="112" t="str"/>
      <x:c r="E2" s="112" t="str"/>
      <x:c r="F2" s="112" t="str"/>
      <x:c r="G2" s="112" t="str"/>
      <x:c r="H2" s="112" t="str"/>
      <x:c r="I2" s="112" t="str"/>
      <x:c r="J2" s="112" t="str"/>
      <x:c r="K2" s="113" t="str"/>
    </x:row>
    <x:row r="3">
      <x:c r="A3" s="13" t="str"/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5" t="str"/>
    </x:row>
    <x:row r="4">
      <x:c r="A4" s="13" t="n"/>
      <x:c r="B4" s="14" t="n"/>
      <x:c r="C4" s="14" t="n"/>
      <x:c r="D4" s="14" t="n"/>
      <x:c r="E4" s="14" t="n"/>
      <x:c r="F4" s="14" t="n"/>
      <x:c r="G4" s="14" t="n"/>
      <x:c r="H4" s="14" t="n"/>
      <x:c r="I4" s="14" t="n"/>
      <x:c r="J4" s="14" t="n"/>
      <x:c r="K4" s="15" t="n"/>
    </x:row>
    <x:row r="5">
      <x:c r="A5" s="191" t="inlineStr">
        <x:is>
          <x:t xml:space="preserve">Departamento</x:t>
        </x:is>
      </x:c>
      <x:c r="B5" s="191" t="inlineStr">
        <x:is>
          <x:t xml:space="preserve">Perfil</x:t>
        </x:is>
      </x:c>
      <x:c r="C5" s="191" t="inlineStr">
        <x:is>
          <x:t xml:space="preserve">Sueldo base EUR/FTE 2026/27</x:t>
        </x:is>
      </x:c>
      <x:c r="D5" s="191" t="inlineStr">
        <x:is>
          <x:t xml:space="preserve">2026/27</x:t>
        </x:is>
      </x:c>
      <x:c r="E5" s="191" t="inlineStr">
        <x:is>
          <x:t xml:space="preserve">2028</x:t>
        </x:is>
      </x:c>
      <x:c r="F5" s="191" t="inlineStr">
        <x:is>
          <x:t xml:space="preserve">2029</x:t>
        </x:is>
      </x:c>
      <x:c r="G5" s="191" t="inlineStr">
        <x:is>
          <x:t xml:space="preserve">2030</x:t>
        </x:is>
      </x:c>
      <x:c r="H5" s="191" t="inlineStr">
        <x:is>
          <x:t xml:space="preserve">Coste empresa 2026/27</x:t>
        </x:is>
      </x:c>
      <x:c r="I5" s="191" t="inlineStr">
        <x:is>
          <x:t xml:space="preserve">Coste empresa 2028</x:t>
        </x:is>
      </x:c>
      <x:c r="J5" s="191" t="inlineStr">
        <x:is>
          <x:t xml:space="preserve">Coste empresa 2029</x:t>
        </x:is>
      </x:c>
      <x:c r="K5" s="191" t="inlineStr">
        <x:is>
          <x:t xml:space="preserve">Coste empresa 2030</x:t>
        </x:is>
      </x:c>
    </x:row>
    <x:row r="6">
      <x:c r="A6" s="13" t="inlineStr">
        <x:is>
          <x:t xml:space="preserve">Direccion</x:t>
        </x:is>
      </x:c>
      <x:c r="B6" s="14" t="inlineStr">
        <x:is>
          <x:t xml:space="preserve">CEO / Direccion general</x:t>
        </x:is>
      </x:c>
      <x:c r="C6" s="158" t="n">
        <x:v>110000</x:v>
      </x:c>
      <x:c r="D6" s="158" t="n">
        <x:v>1</x:v>
      </x:c>
      <x:c r="E6" s="158" t="n">
        <x:v>1</x:v>
      </x:c>
      <x:c r="F6" s="158" t="n">
        <x:v>1</x:v>
      </x:c>
      <x:c r="G6" s="158" t="n">
        <x:v>1</x:v>
      </x:c>
      <x:c r="H6" s="196" t="n">
        <x:f>$C6*D6*'01_Supuestos'!B$67/1000000</x:f>
        <x:v>0.11</x:v>
      </x:c>
      <x:c r="I6" s="196" t="n">
        <x:f>$C6*E6*'01_Supuestos'!C$67/1000000</x:f>
        <x:v>0.1133</x:v>
      </x:c>
      <x:c r="J6" s="196" t="n">
        <x:f>$C6*F6*'01_Supuestos'!D$67/1000000</x:f>
        <x:v>0.116699</x:v>
      </x:c>
      <x:c r="K6" s="197" t="n">
        <x:f>$C6*G6*'01_Supuestos'!E$67/1000000</x:f>
        <x:v>0.12019997</x:v>
      </x:c>
    </x:row>
    <x:row r="7">
      <x:c r="A7" s="13" t="inlineStr">
        <x:is>
          <x:t xml:space="preserve">Direccion</x:t>
        </x:is>
      </x:c>
      <x:c r="B7" s="14" t="inlineStr">
        <x:is>
          <x:t xml:space="preserve">COO / Direccion operaciones</x:t>
        </x:is>
      </x:c>
      <x:c r="C7" s="158" t="n">
        <x:v>105000</x:v>
      </x:c>
      <x:c r="D7" s="158" t="n">
        <x:v>1</x:v>
      </x:c>
      <x:c r="E7" s="158" t="n">
        <x:v>1</x:v>
      </x:c>
      <x:c r="F7" s="158" t="n">
        <x:v>1</x:v>
      </x:c>
      <x:c r="G7" s="158" t="n">
        <x:v>1</x:v>
      </x:c>
      <x:c r="H7" s="196" t="n">
        <x:f>$C7*D7*'01_Supuestos'!B$67/1000000</x:f>
        <x:v>0.105</x:v>
      </x:c>
      <x:c r="I7" s="196" t="n">
        <x:f>$C7*E7*'01_Supuestos'!C$67/1000000</x:f>
        <x:v>0.10815</x:v>
      </x:c>
      <x:c r="J7" s="196" t="n">
        <x:f>$C7*F7*'01_Supuestos'!D$67/1000000</x:f>
        <x:v>0.1113945</x:v>
      </x:c>
      <x:c r="K7" s="197" t="n">
        <x:f>$C7*G7*'01_Supuestos'!E$67/1000000</x:f>
        <x:v>0.11473633500000001</x:v>
      </x:c>
    </x:row>
    <x:row r="8">
      <x:c r="A8" s="13" t="inlineStr">
        <x:is>
          <x:t xml:space="preserve">Direccion</x:t>
        </x:is>
      </x:c>
      <x:c r="B8" s="14" t="inlineStr">
        <x:is>
          <x:t xml:space="preserve">CTO / Direccion producto</x:t>
        </x:is>
      </x:c>
      <x:c r="C8" s="158" t="n">
        <x:v>105000</x:v>
      </x:c>
      <x:c r="D8" s="158" t="n">
        <x:v>1</x:v>
      </x:c>
      <x:c r="E8" s="158" t="n">
        <x:v>1</x:v>
      </x:c>
      <x:c r="F8" s="158" t="n">
        <x:v>1</x:v>
      </x:c>
      <x:c r="G8" s="158" t="n">
        <x:v>1</x:v>
      </x:c>
      <x:c r="H8" s="196" t="n">
        <x:f>$C8*D8*'01_Supuestos'!B$67/1000000</x:f>
        <x:v>0.105</x:v>
      </x:c>
      <x:c r="I8" s="196" t="n">
        <x:f>$C8*E8*'01_Supuestos'!C$67/1000000</x:f>
        <x:v>0.10815</x:v>
      </x:c>
      <x:c r="J8" s="196" t="n">
        <x:f>$C8*F8*'01_Supuestos'!D$67/1000000</x:f>
        <x:v>0.1113945</x:v>
      </x:c>
      <x:c r="K8" s="197" t="n">
        <x:f>$C8*G8*'01_Supuestos'!E$67/1000000</x:f>
        <x:v>0.11473633500000001</x:v>
      </x:c>
    </x:row>
    <x:row r="9">
      <x:c r="A9" s="13" t="inlineStr">
        <x:is>
          <x:t xml:space="preserve">Direccion</x:t>
        </x:is>
      </x:c>
      <x:c r="B9" s="14" t="inlineStr">
        <x:is>
          <x:t xml:space="preserve">CFO / Finanzas e inversores</x:t>
        </x:is>
      </x:c>
      <x:c r="C9" s="158" t="n">
        <x:v>95000</x:v>
      </x:c>
      <x:c r="D9" s="158" t="n">
        <x:v>0.5</x:v>
      </x:c>
      <x:c r="E9" s="158" t="n">
        <x:v>1</x:v>
      </x:c>
      <x:c r="F9" s="158" t="n">
        <x:v>1</x:v>
      </x:c>
      <x:c r="G9" s="158" t="n">
        <x:v>1</x:v>
      </x:c>
      <x:c r="H9" s="196" t="n">
        <x:f>$C9*D9*'01_Supuestos'!B$67/1000000</x:f>
        <x:v>0.0475</x:v>
      </x:c>
      <x:c r="I9" s="196" t="n">
        <x:f>$C9*E9*'01_Supuestos'!C$67/1000000</x:f>
        <x:v>0.09785</x:v>
      </x:c>
      <x:c r="J9" s="196" t="n">
        <x:f>$C9*F9*'01_Supuestos'!D$67/1000000</x:f>
        <x:v>0.1007855</x:v>
      </x:c>
      <x:c r="K9" s="197" t="n">
        <x:f>$C9*G9*'01_Supuestos'!E$67/1000000</x:f>
        <x:v>0.103809065</x:v>
      </x:c>
    </x:row>
    <x:row r="10">
      <x:c r="A10" s="13" t="inlineStr">
        <x:is>
          <x:t xml:space="preserve">Direccion</x:t>
        </x:is>
      </x:c>
      <x:c r="B10" s="14" t="inlineStr">
        <x:is>
          <x:t xml:space="preserve">Direccion comercial / Growth</x:t>
        </x:is>
      </x:c>
      <x:c r="C10" s="158" t="n">
        <x:v>90000</x:v>
      </x:c>
      <x:c r="D10" s="158" t="n">
        <x:v>0.5</x:v>
      </x:c>
      <x:c r="E10" s="158" t="n">
        <x:v>1</x:v>
      </x:c>
      <x:c r="F10" s="158" t="n">
        <x:v>1</x:v>
      </x:c>
      <x:c r="G10" s="158" t="n">
        <x:v>1</x:v>
      </x:c>
      <x:c r="H10" s="196" t="n">
        <x:f>$C10*D10*'01_Supuestos'!B$67/1000000</x:f>
        <x:v>0.045</x:v>
      </x:c>
      <x:c r="I10" s="196" t="n">
        <x:f>$C10*E10*'01_Supuestos'!C$67/1000000</x:f>
        <x:v>0.0927</x:v>
      </x:c>
      <x:c r="J10" s="196" t="n">
        <x:f>$C10*F10*'01_Supuestos'!D$67/1000000</x:f>
        <x:v>0.095481</x:v>
      </x:c>
      <x:c r="K10" s="197" t="n">
        <x:f>$C10*G10*'01_Supuestos'!E$67/1000000</x:f>
        <x:v>0.09834543000000001</x:v>
      </x:c>
    </x:row>
    <x:row r="11">
      <x:c r="A11" s="13" t="inlineStr">
        <x:is>
          <x:t xml:space="preserve">Producto</x:t>
        </x:is>
      </x:c>
      <x:c r="B11" s="14" t="inlineStr">
        <x:is>
          <x:t xml:space="preserve">Product Manager Asset OS</x:t>
        </x:is>
      </x:c>
      <x:c r="C11" s="158" t="n">
        <x:v>80000</x:v>
      </x:c>
      <x:c r="D11" s="158" t="n">
        <x:v>1</x:v>
      </x:c>
      <x:c r="E11" s="158" t="n">
        <x:v>2</x:v>
      </x:c>
      <x:c r="F11" s="158" t="n">
        <x:v>3</x:v>
      </x:c>
      <x:c r="G11" s="158" t="n">
        <x:v>4</x:v>
      </x:c>
      <x:c r="H11" s="196" t="n">
        <x:f>$C11*D11*'01_Supuestos'!B$67/1000000</x:f>
        <x:v>0.08</x:v>
      </x:c>
      <x:c r="I11" s="196" t="n">
        <x:f>$C11*E11*'01_Supuestos'!C$67/1000000</x:f>
        <x:v>0.1648</x:v>
      </x:c>
      <x:c r="J11" s="196" t="n">
        <x:f>$C11*F11*'01_Supuestos'!D$67/1000000</x:f>
        <x:v>0.254616</x:v>
      </x:c>
      <x:c r="K11" s="197" t="n">
        <x:f>$C11*G11*'01_Supuestos'!E$67/1000000</x:f>
        <x:v>0.34967264000000003</x:v>
      </x:c>
    </x:row>
    <x:row r="12">
      <x:c r="A12" s="13" t="inlineStr">
        <x:is>
          <x:t xml:space="preserve">Producto</x:t>
        </x:is>
      </x:c>
      <x:c r="B12" s="14" t="inlineStr">
        <x:is>
          <x:t xml:space="preserve">Product Manager iPath / POI / DPP</x:t>
        </x:is>
      </x:c>
      <x:c r="C12" s="158" t="n">
        <x:v>78000</x:v>
      </x:c>
      <x:c r="D12" s="158" t="n">
        <x:v>1</x:v>
      </x:c>
      <x:c r="E12" s="158" t="n">
        <x:v>2</x:v>
      </x:c>
      <x:c r="F12" s="158" t="n">
        <x:v>3</x:v>
      </x:c>
      <x:c r="G12" s="158" t="n">
        <x:v>4</x:v>
      </x:c>
      <x:c r="H12" s="196" t="n">
        <x:f>$C12*D12*'01_Supuestos'!B$67/1000000</x:f>
        <x:v>0.078</x:v>
      </x:c>
      <x:c r="I12" s="196" t="n">
        <x:f>$C12*E12*'01_Supuestos'!C$67/1000000</x:f>
        <x:v>0.16068</x:v>
      </x:c>
      <x:c r="J12" s="196" t="n">
        <x:f>$C12*F12*'01_Supuestos'!D$67/1000000</x:f>
        <x:v>0.2482506</x:v>
      </x:c>
      <x:c r="K12" s="197" t="n">
        <x:f>$C12*G12*'01_Supuestos'!E$67/1000000</x:f>
        <x:v>0.340930824</x:v>
      </x:c>
    </x:row>
    <x:row r="13">
      <x:c r="A13" s="13" t="inlineStr">
        <x:is>
          <x:t xml:space="preserve">Producto</x:t>
        </x:is>
      </x:c>
      <x:c r="B13" s="14" t="inlineStr">
        <x:is>
          <x:t xml:space="preserve">Backend / Platform Engineer</x:t>
        </x:is>
      </x:c>
      <x:c r="C13" s="158" t="n">
        <x:v>72000</x:v>
      </x:c>
      <x:c r="D13" s="158" t="n">
        <x:v>3</x:v>
      </x:c>
      <x:c r="E13" s="158" t="n">
        <x:v>8</x:v>
      </x:c>
      <x:c r="F13" s="158" t="n">
        <x:v>14</x:v>
      </x:c>
      <x:c r="G13" s="158" t="n">
        <x:v>22</x:v>
      </x:c>
      <x:c r="H13" s="196" t="n">
        <x:f>$C13*D13*'01_Supuestos'!B$67/1000000</x:f>
        <x:v>0.216</x:v>
      </x:c>
      <x:c r="I13" s="196" t="n">
        <x:f>$C13*E13*'01_Supuestos'!C$67/1000000</x:f>
        <x:v>0.59328</x:v>
      </x:c>
      <x:c r="J13" s="196" t="n">
        <x:f>$C13*F13*'01_Supuestos'!D$67/1000000</x:f>
        <x:v>1.0693872</x:v>
      </x:c>
      <x:c r="K13" s="197" t="n">
        <x:f>$C13*G13*'01_Supuestos'!E$67/1000000</x:f>
        <x:v>1.730879568</x:v>
      </x:c>
    </x:row>
    <x:row r="14">
      <x:c r="A14" s="13" t="inlineStr">
        <x:is>
          <x:t xml:space="preserve">Producto</x:t>
        </x:is>
      </x:c>
      <x:c r="B14" s="14" t="inlineStr">
        <x:is>
          <x:t xml:space="preserve">Frontend / App Engineer</x:t>
        </x:is>
      </x:c>
      <x:c r="C14" s="158" t="n">
        <x:v>65000</x:v>
      </x:c>
      <x:c r="D14" s="158" t="n">
        <x:v>2</x:v>
      </x:c>
      <x:c r="E14" s="158" t="n">
        <x:v>5</x:v>
      </x:c>
      <x:c r="F14" s="158" t="n">
        <x:v>8</x:v>
      </x:c>
      <x:c r="G14" s="158" t="n">
        <x:v>12</x:v>
      </x:c>
      <x:c r="H14" s="196" t="n">
        <x:f>$C14*D14*'01_Supuestos'!B$67/1000000</x:f>
        <x:v>0.13</x:v>
      </x:c>
      <x:c r="I14" s="196" t="n">
        <x:f>$C14*E14*'01_Supuestos'!C$67/1000000</x:f>
        <x:v>0.33475</x:v>
      </x:c>
      <x:c r="J14" s="196" t="n">
        <x:f>$C14*F14*'01_Supuestos'!D$67/1000000</x:f>
        <x:v>0.551668</x:v>
      </x:c>
      <x:c r="K14" s="197" t="n">
        <x:f>$C14*G14*'01_Supuestos'!E$67/1000000</x:f>
        <x:v>0.85232706</x:v>
      </x:c>
    </x:row>
    <x:row r="15">
      <x:c r="A15" s="13" t="inlineStr">
        <x:is>
          <x:t xml:space="preserve">Producto</x:t>
        </x:is>
      </x:c>
      <x:c r="B15" s="14" t="inlineStr">
        <x:is>
          <x:t xml:space="preserve">Mobile / Reading Apps Engineer</x:t>
        </x:is>
      </x:c>
      <x:c r="C15" s="158" t="n">
        <x:v>62000</x:v>
      </x:c>
      <x:c r="D15" s="158" t="n">
        <x:v>1</x:v>
      </x:c>
      <x:c r="E15" s="158" t="n">
        <x:v>3</x:v>
      </x:c>
      <x:c r="F15" s="158" t="n">
        <x:v>5</x:v>
      </x:c>
      <x:c r="G15" s="158" t="n">
        <x:v>8</x:v>
      </x:c>
      <x:c r="H15" s="196" t="n">
        <x:f>$C15*D15*'01_Supuestos'!B$67/1000000</x:f>
        <x:v>0.062</x:v>
      </x:c>
      <x:c r="I15" s="196" t="n">
        <x:f>$C15*E15*'01_Supuestos'!C$67/1000000</x:f>
        <x:v>0.19158</x:v>
      </x:c>
      <x:c r="J15" s="196" t="n">
        <x:f>$C15*F15*'01_Supuestos'!D$67/1000000</x:f>
        <x:v>0.328879</x:v>
      </x:c>
      <x:c r="K15" s="197" t="n">
        <x:f>$C15*G15*'01_Supuestos'!E$67/1000000</x:f>
        <x:v>0.5419925919999999</x:v>
      </x:c>
    </x:row>
    <x:row r="16">
      <x:c r="A16" s="13" t="inlineStr">
        <x:is>
          <x:t xml:space="preserve">Producto</x:t>
        </x:is>
      </x:c>
      <x:c r="B16" s="14" t="inlineStr">
        <x:is>
          <x:t xml:space="preserve">Data / AI Engineer</x:t>
        </x:is>
      </x:c>
      <x:c r="C16" s="158" t="n">
        <x:v>80000</x:v>
      </x:c>
      <x:c r="D16" s="158" t="n">
        <x:v>1</x:v>
      </x:c>
      <x:c r="E16" s="158" t="n">
        <x:v>4</x:v>
      </x:c>
      <x:c r="F16" s="158" t="n">
        <x:v>8</x:v>
      </x:c>
      <x:c r="G16" s="158" t="n">
        <x:v>14</x:v>
      </x:c>
      <x:c r="H16" s="196" t="n">
        <x:f>$C16*D16*'01_Supuestos'!B$67/1000000</x:f>
        <x:v>0.08</x:v>
      </x:c>
      <x:c r="I16" s="196" t="n">
        <x:f>$C16*E16*'01_Supuestos'!C$67/1000000</x:f>
        <x:v>0.3296</x:v>
      </x:c>
      <x:c r="J16" s="196" t="n">
        <x:f>$C16*F16*'01_Supuestos'!D$67/1000000</x:f>
        <x:v>0.678976</x:v>
      </x:c>
      <x:c r="K16" s="197" t="n">
        <x:f>$C16*G16*'01_Supuestos'!E$67/1000000</x:f>
        <x:v>1.22385424</x:v>
      </x:c>
    </x:row>
    <x:row r="17">
      <x:c r="A17" s="13" t="inlineStr">
        <x:is>
          <x:t xml:space="preserve">Producto</x:t>
        </x:is>
      </x:c>
      <x:c r="B17" s="14" t="inlineStr">
        <x:is>
          <x:t xml:space="preserve">GIS Engineer</x:t>
        </x:is>
      </x:c>
      <x:c r="C17" s="158" t="n">
        <x:v>65000</x:v>
      </x:c>
      <x:c r="D17" s="158" t="n">
        <x:v>1</x:v>
      </x:c>
      <x:c r="E17" s="158" t="n">
        <x:v>2</x:v>
      </x:c>
      <x:c r="F17" s="158" t="n">
        <x:v>4</x:v>
      </x:c>
      <x:c r="G17" s="158" t="n">
        <x:v>6</x:v>
      </x:c>
      <x:c r="H17" s="196" t="n">
        <x:f>$C17*D17*'01_Supuestos'!B$67/1000000</x:f>
        <x:v>0.065</x:v>
      </x:c>
      <x:c r="I17" s="196" t="n">
        <x:f>$C17*E17*'01_Supuestos'!C$67/1000000</x:f>
        <x:v>0.1339</x:v>
      </x:c>
      <x:c r="J17" s="196" t="n">
        <x:f>$C17*F17*'01_Supuestos'!D$67/1000000</x:f>
        <x:v>0.275834</x:v>
      </x:c>
      <x:c r="K17" s="197" t="n">
        <x:f>$C17*G17*'01_Supuestos'!E$67/1000000</x:f>
        <x:v>0.42616353</x:v>
      </x:c>
    </x:row>
    <x:row r="18">
      <x:c r="A18" s="13" t="inlineStr">
        <x:is>
          <x:t xml:space="preserve">Producto</x:t>
        </x:is>
      </x:c>
      <x:c r="B18" s="14" t="inlineStr">
        <x:is>
          <x:t xml:space="preserve">DevOps / Security</x:t>
        </x:is>
      </x:c>
      <x:c r="C18" s="158" t="n">
        <x:v>80000</x:v>
      </x:c>
      <x:c r="D18" s="158" t="n">
        <x:v>1</x:v>
      </x:c>
      <x:c r="E18" s="158" t="n">
        <x:v>3</x:v>
      </x:c>
      <x:c r="F18" s="158" t="n">
        <x:v>5</x:v>
      </x:c>
      <x:c r="G18" s="158" t="n">
        <x:v>8</x:v>
      </x:c>
      <x:c r="H18" s="196" t="n">
        <x:f>$C18*D18*'01_Supuestos'!B$67/1000000</x:f>
        <x:v>0.08</x:v>
      </x:c>
      <x:c r="I18" s="196" t="n">
        <x:f>$C18*E18*'01_Supuestos'!C$67/1000000</x:f>
        <x:v>0.2472</x:v>
      </x:c>
      <x:c r="J18" s="196" t="n">
        <x:f>$C18*F18*'01_Supuestos'!D$67/1000000</x:f>
        <x:v>0.42436</x:v>
      </x:c>
      <x:c r="K18" s="197" t="n">
        <x:f>$C18*G18*'01_Supuestos'!E$67/1000000</x:f>
        <x:v>0.6993452800000001</x:v>
      </x:c>
    </x:row>
    <x:row r="19">
      <x:c r="A19" s="13" t="inlineStr">
        <x:is>
          <x:t xml:space="preserve">Producto</x:t>
        </x:is>
      </x:c>
      <x:c r="B19" s="14" t="inlineStr">
        <x:is>
          <x:t xml:space="preserve">QA / Automation</x:t>
        </x:is>
      </x:c>
      <x:c r="C19" s="158" t="n">
        <x:v>58000</x:v>
      </x:c>
      <x:c r="D19" s="158" t="n">
        <x:v>1</x:v>
      </x:c>
      <x:c r="E19" s="158" t="n">
        <x:v>3</x:v>
      </x:c>
      <x:c r="F19" s="158" t="n">
        <x:v>6</x:v>
      </x:c>
      <x:c r="G19" s="158" t="n">
        <x:v>10</x:v>
      </x:c>
      <x:c r="H19" s="196" t="n">
        <x:f>$C19*D19*'01_Supuestos'!B$67/1000000</x:f>
        <x:v>0.058</x:v>
      </x:c>
      <x:c r="I19" s="196" t="n">
        <x:f>$C19*E19*'01_Supuestos'!C$67/1000000</x:f>
        <x:v>0.17922</x:v>
      </x:c>
      <x:c r="J19" s="196" t="n">
        <x:f>$C19*F19*'01_Supuestos'!D$67/1000000</x:f>
        <x:v>0.3691932</x:v>
      </x:c>
      <x:c r="K19" s="197" t="n">
        <x:f>$C19*G19*'01_Supuestos'!E$67/1000000</x:f>
        <x:v>0.63378166</x:v>
      </x:c>
    </x:row>
    <x:row r="20">
      <x:c r="A20" s="13" t="inlineStr">
        <x:is>
          <x:t xml:space="preserve">Producto</x:t>
        </x:is>
      </x:c>
      <x:c r="B20" s="14" t="inlineStr">
        <x:is>
          <x:t xml:space="preserve">UX/UI / Research</x:t>
        </x:is>
      </x:c>
      <x:c r="C20" s="158" t="n">
        <x:v>55000</x:v>
      </x:c>
      <x:c r="D20" s="158" t="n">
        <x:v>1</x:v>
      </x:c>
      <x:c r="E20" s="158" t="n">
        <x:v>2</x:v>
      </x:c>
      <x:c r="F20" s="158" t="n">
        <x:v>3</x:v>
      </x:c>
      <x:c r="G20" s="158" t="n">
        <x:v>5</x:v>
      </x:c>
      <x:c r="H20" s="196" t="n">
        <x:f>$C20*D20*'01_Supuestos'!B$67/1000000</x:f>
        <x:v>0.055</x:v>
      </x:c>
      <x:c r="I20" s="196" t="n">
        <x:f>$C20*E20*'01_Supuestos'!C$67/1000000</x:f>
        <x:v>0.1133</x:v>
      </x:c>
      <x:c r="J20" s="196" t="n">
        <x:f>$C20*F20*'01_Supuestos'!D$67/1000000</x:f>
        <x:v>0.1750485</x:v>
      </x:c>
      <x:c r="K20" s="197" t="n">
        <x:f>$C20*G20*'01_Supuestos'!E$67/1000000</x:f>
        <x:v>0.300499925</x:v>
      </x:c>
    </x:row>
    <x:row r="21">
      <x:c r="A21" s="13" t="inlineStr">
        <x:is>
          <x:t xml:space="preserve">Operaciones</x:t>
        </x:is>
      </x:c>
      <x:c r="B21" s="14" t="inlineStr">
        <x:is>
          <x:t xml:space="preserve">Industrialization Lead</x:t>
        </x:is>
      </x:c>
      <x:c r="C21" s="158" t="n">
        <x:v>78000</x:v>
      </x:c>
      <x:c r="D21" s="158" t="n">
        <x:v>1</x:v>
      </x:c>
      <x:c r="E21" s="158" t="n">
        <x:v>2</x:v>
      </x:c>
      <x:c r="F21" s="158" t="n">
        <x:v>3</x:v>
      </x:c>
      <x:c r="G21" s="158" t="n">
        <x:v>5</x:v>
      </x:c>
      <x:c r="H21" s="196" t="n">
        <x:f>$C21*D21*'01_Supuestos'!B$67/1000000</x:f>
        <x:v>0.078</x:v>
      </x:c>
      <x:c r="I21" s="196" t="n">
        <x:f>$C21*E21*'01_Supuestos'!C$67/1000000</x:f>
        <x:v>0.16068</x:v>
      </x:c>
      <x:c r="J21" s="196" t="n">
        <x:f>$C21*F21*'01_Supuestos'!D$67/1000000</x:f>
        <x:v>0.2482506</x:v>
      </x:c>
      <x:c r="K21" s="197" t="n">
        <x:f>$C21*G21*'01_Supuestos'!E$67/1000000</x:f>
        <x:v>0.42616353</x:v>
      </x:c>
    </x:row>
    <x:row r="22">
      <x:c r="A22" s="13" t="inlineStr">
        <x:is>
          <x:t xml:space="preserve">Operaciones</x:t>
        </x:is>
      </x:c>
      <x:c r="B22" s="14" t="inlineStr">
        <x:is>
          <x:t xml:space="preserve">Factory Integration Specialist</x:t>
        </x:is>
      </x:c>
      <x:c r="C22" s="158" t="n">
        <x:v>62000</x:v>
      </x:c>
      <x:c r="D22" s="158" t="n">
        <x:v>2</x:v>
      </x:c>
      <x:c r="E22" s="158" t="n">
        <x:v>5</x:v>
      </x:c>
      <x:c r="F22" s="158" t="n">
        <x:v>9</x:v>
      </x:c>
      <x:c r="G22" s="158" t="n">
        <x:v>14</x:v>
      </x:c>
      <x:c r="H22" s="196" t="n">
        <x:f>$C22*D22*'01_Supuestos'!B$67/1000000</x:f>
        <x:v>0.124</x:v>
      </x:c>
      <x:c r="I22" s="196" t="n">
        <x:f>$C22*E22*'01_Supuestos'!C$67/1000000</x:f>
        <x:v>0.3193</x:v>
      </x:c>
      <x:c r="J22" s="196" t="n">
        <x:f>$C22*F22*'01_Supuestos'!D$67/1000000</x:f>
        <x:v>0.5919821999999999</x:v>
      </x:c>
      <x:c r="K22" s="197" t="n">
        <x:f>$C22*G22*'01_Supuestos'!E$67/1000000</x:f>
        <x:v>0.948487036</x:v>
      </x:c>
    </x:row>
    <x:row r="23">
      <x:c r="A23" s="13" t="inlineStr">
        <x:is>
          <x:t xml:space="preserve">Operaciones</x:t>
        </x:is>
      </x:c>
      <x:c r="B23" s="14" t="inlineStr">
        <x:is>
          <x:t xml:space="preserve">Site / POI Lead</x:t>
        </x:is>
      </x:c>
      <x:c r="C23" s="158" t="n">
        <x:v>62000</x:v>
      </x:c>
      <x:c r="D23" s="158" t="n">
        <x:v>2</x:v>
      </x:c>
      <x:c r="E23" s="158" t="n">
        <x:v>5</x:v>
      </x:c>
      <x:c r="F23" s="158" t="n">
        <x:v>9</x:v>
      </x:c>
      <x:c r="G23" s="158" t="n">
        <x:v>14</x:v>
      </x:c>
      <x:c r="H23" s="196" t="n">
        <x:f>$C23*D23*'01_Supuestos'!B$67/1000000</x:f>
        <x:v>0.124</x:v>
      </x:c>
      <x:c r="I23" s="196" t="n">
        <x:f>$C23*E23*'01_Supuestos'!C$67/1000000</x:f>
        <x:v>0.3193</x:v>
      </x:c>
      <x:c r="J23" s="196" t="n">
        <x:f>$C23*F23*'01_Supuestos'!D$67/1000000</x:f>
        <x:v>0.5919821999999999</x:v>
      </x:c>
      <x:c r="K23" s="197" t="n">
        <x:f>$C23*G23*'01_Supuestos'!E$67/1000000</x:f>
        <x:v>0.948487036</x:v>
      </x:c>
    </x:row>
    <x:row r="24">
      <x:c r="A24" s="13" t="inlineStr">
        <x:is>
          <x:t xml:space="preserve">Operaciones</x:t>
        </x:is>
      </x:c>
      <x:c r="B24" s="14" t="inlineStr">
        <x:is>
          <x:t xml:space="preserve">DPP / Documental Lead</x:t>
        </x:is>
      </x:c>
      <x:c r="C24" s="158" t="n">
        <x:v>60000</x:v>
      </x:c>
      <x:c r="D24" s="158" t="n">
        <x:v>1</x:v>
      </x:c>
      <x:c r="E24" s="158" t="n">
        <x:v>3</x:v>
      </x:c>
      <x:c r="F24" s="158" t="n">
        <x:v>6</x:v>
      </x:c>
      <x:c r="G24" s="158" t="n">
        <x:v>10</x:v>
      </x:c>
      <x:c r="H24" s="196" t="n">
        <x:f>$C24*D24*'01_Supuestos'!B$67/1000000</x:f>
        <x:v>0.06</x:v>
      </x:c>
      <x:c r="I24" s="196" t="n">
        <x:f>$C24*E24*'01_Supuestos'!C$67/1000000</x:f>
        <x:v>0.1854</x:v>
      </x:c>
      <x:c r="J24" s="196" t="n">
        <x:f>$C24*F24*'01_Supuestos'!D$67/1000000</x:f>
        <x:v>0.381924</x:v>
      </x:c>
      <x:c r="K24" s="197" t="n">
        <x:f>$C24*G24*'01_Supuestos'!E$67/1000000</x:f>
        <x:v>0.6556362</x:v>
      </x:c>
    </x:row>
    <x:row r="25">
      <x:c r="A25" s="13" t="inlineStr">
        <x:is>
          <x:t xml:space="preserve">Operaciones</x:t>
        </x:is>
      </x:c>
      <x:c r="B25" s="14" t="inlineStr">
        <x:is>
          <x:t xml:space="preserve">Customer Success Manager</x:t>
        </x:is>
      </x:c>
      <x:c r="C25" s="158" t="n">
        <x:v>58000</x:v>
      </x:c>
      <x:c r="D25" s="158" t="n">
        <x:v>2</x:v>
      </x:c>
      <x:c r="E25" s="158" t="n">
        <x:v>6</x:v>
      </x:c>
      <x:c r="F25" s="158" t="n">
        <x:v>12</x:v>
      </x:c>
      <x:c r="G25" s="158" t="n">
        <x:v>20</x:v>
      </x:c>
      <x:c r="H25" s="196" t="n">
        <x:f>$C25*D25*'01_Supuestos'!B$67/1000000</x:f>
        <x:v>0.116</x:v>
      </x:c>
      <x:c r="I25" s="196" t="n">
        <x:f>$C25*E25*'01_Supuestos'!C$67/1000000</x:f>
        <x:v>0.35844</x:v>
      </x:c>
      <x:c r="J25" s="196" t="n">
        <x:f>$C25*F25*'01_Supuestos'!D$67/1000000</x:f>
        <x:v>0.7383864</x:v>
      </x:c>
      <x:c r="K25" s="197" t="n">
        <x:f>$C25*G25*'01_Supuestos'!E$67/1000000</x:f>
        <x:v>1.26756332</x:v>
      </x:c>
    </x:row>
    <x:row r="26">
      <x:c r="A26" s="13" t="inlineStr">
        <x:is>
          <x:t xml:space="preserve">Operaciones</x:t>
        </x:is>
      </x:c>
      <x:c r="B26" s="14" t="inlineStr">
        <x:is>
          <x:t xml:space="preserve">Implementation Consultant</x:t>
        </x:is>
      </x:c>
      <x:c r="C26" s="158" t="n">
        <x:v>60000</x:v>
      </x:c>
      <x:c r="D26" s="158" t="n">
        <x:v>2</x:v>
      </x:c>
      <x:c r="E26" s="158" t="n">
        <x:v>6</x:v>
      </x:c>
      <x:c r="F26" s="158" t="n">
        <x:v>10</x:v>
      </x:c>
      <x:c r="G26" s="158" t="n">
        <x:v>16</x:v>
      </x:c>
      <x:c r="H26" s="196" t="n">
        <x:f>$C26*D26*'01_Supuestos'!B$67/1000000</x:f>
        <x:v>0.12</x:v>
      </x:c>
      <x:c r="I26" s="196" t="n">
        <x:f>$C26*E26*'01_Supuestos'!C$67/1000000</x:f>
        <x:v>0.3708</x:v>
      </x:c>
      <x:c r="J26" s="196" t="n">
        <x:f>$C26*F26*'01_Supuestos'!D$67/1000000</x:f>
        <x:v>0.63654</x:v>
      </x:c>
      <x:c r="K26" s="197" t="n">
        <x:f>$C26*G26*'01_Supuestos'!E$67/1000000</x:f>
        <x:v>1.0490179199999998</x:v>
      </x:c>
    </x:row>
    <x:row r="27">
      <x:c r="A27" s="13" t="inlineStr">
        <x:is>
          <x:t xml:space="preserve">Operaciones</x:t>
        </x:is>
      </x:c>
      <x:c r="B27" s="14" t="inlineStr">
        <x:is>
          <x:t xml:space="preserve">Technical Support / Field</x:t>
        </x:is>
      </x:c>
      <x:c r="C27" s="158" t="n">
        <x:v>42000</x:v>
      </x:c>
      <x:c r="D27" s="158" t="n">
        <x:v>2</x:v>
      </x:c>
      <x:c r="E27" s="158" t="n">
        <x:v>6</x:v>
      </x:c>
      <x:c r="F27" s="158" t="n">
        <x:v>12</x:v>
      </x:c>
      <x:c r="G27" s="158" t="n">
        <x:v>20</x:v>
      </x:c>
      <x:c r="H27" s="196" t="n">
        <x:f>$C27*D27*'01_Supuestos'!B$67/1000000</x:f>
        <x:v>0.084</x:v>
      </x:c>
      <x:c r="I27" s="196" t="n">
        <x:f>$C27*E27*'01_Supuestos'!C$67/1000000</x:f>
        <x:v>0.25956</x:v>
      </x:c>
      <x:c r="J27" s="196" t="n">
        <x:f>$C27*F27*'01_Supuestos'!D$67/1000000</x:f>
        <x:v>0.5346936</x:v>
      </x:c>
      <x:c r="K27" s="197" t="n">
        <x:f>$C27*G27*'01_Supuestos'!E$67/1000000</x:f>
        <x:v>0.9178906800000001</x:v>
      </x:c>
    </x:row>
    <x:row r="28">
      <x:c r="A28" s="13" t="inlineStr">
        <x:is>
          <x:t xml:space="preserve">Operaciones</x:t>
        </x:is>
      </x:c>
      <x:c r="B28" s="14" t="inlineStr">
        <x:is>
          <x:t xml:space="preserve">Data Ops Analyst</x:t>
        </x:is>
      </x:c>
      <x:c r="C28" s="158" t="n">
        <x:v>48000</x:v>
      </x:c>
      <x:c r="D28" s="158" t="n">
        <x:v>1</x:v>
      </x:c>
      <x:c r="E28" s="158" t="n">
        <x:v>4</x:v>
      </x:c>
      <x:c r="F28" s="158" t="n">
        <x:v>8</x:v>
      </x:c>
      <x:c r="G28" s="158" t="n">
        <x:v>14</x:v>
      </x:c>
      <x:c r="H28" s="196" t="n">
        <x:f>$C28*D28*'01_Supuestos'!B$67/1000000</x:f>
        <x:v>0.048</x:v>
      </x:c>
      <x:c r="I28" s="196" t="n">
        <x:f>$C28*E28*'01_Supuestos'!C$67/1000000</x:f>
        <x:v>0.19776</x:v>
      </x:c>
      <x:c r="J28" s="196" t="n">
        <x:f>$C28*F28*'01_Supuestos'!D$67/1000000</x:f>
        <x:v>0.40738559999999996</x:v>
      </x:c>
      <x:c r="K28" s="197" t="n">
        <x:f>$C28*G28*'01_Supuestos'!E$67/1000000</x:f>
        <x:v>0.734312544</x:v>
      </x:c>
    </x:row>
    <x:row r="29">
      <x:c r="A29" s="13" t="inlineStr">
        <x:is>
          <x:t xml:space="preserve">GTM</x:t>
        </x:is>
      </x:c>
      <x:c r="B29" s="14" t="inlineStr">
        <x:is>
          <x:t xml:space="preserve">Business Development</x:t>
        </x:is>
      </x:c>
      <x:c r="C29" s="158" t="n">
        <x:v>70000</x:v>
      </x:c>
      <x:c r="D29" s="158" t="n">
        <x:v>1</x:v>
      </x:c>
      <x:c r="E29" s="158" t="n">
        <x:v>3</x:v>
      </x:c>
      <x:c r="F29" s="158" t="n">
        <x:v>5</x:v>
      </x:c>
      <x:c r="G29" s="158" t="n">
        <x:v>8</x:v>
      </x:c>
      <x:c r="H29" s="196" t="n">
        <x:f>$C29*D29*'01_Supuestos'!B$67/1000000</x:f>
        <x:v>0.07</x:v>
      </x:c>
      <x:c r="I29" s="196" t="n">
        <x:f>$C29*E29*'01_Supuestos'!C$67/1000000</x:f>
        <x:v>0.2163</x:v>
      </x:c>
      <x:c r="J29" s="196" t="n">
        <x:f>$C29*F29*'01_Supuestos'!D$67/1000000</x:f>
        <x:v>0.371315</x:v>
      </x:c>
      <x:c r="K29" s="197" t="n">
        <x:f>$C29*G29*'01_Supuestos'!E$67/1000000</x:f>
        <x:v>0.61192712</x:v>
      </x:c>
    </x:row>
    <x:row r="30">
      <x:c r="A30" s="13" t="inlineStr">
        <x:is>
          <x:t xml:space="preserve">GTM</x:t>
        </x:is>
      </x:c>
      <x:c r="B30" s="14" t="inlineStr">
        <x:is>
          <x:t xml:space="preserve">Key Account / Partnerships</x:t>
        </x:is>
      </x:c>
      <x:c r="C30" s="158" t="n">
        <x:v>68000</x:v>
      </x:c>
      <x:c r="D30" s="158" t="n">
        <x:v>1</x:v>
      </x:c>
      <x:c r="E30" s="158" t="n">
        <x:v>3</x:v>
      </x:c>
      <x:c r="F30" s="158" t="n">
        <x:v>6</x:v>
      </x:c>
      <x:c r="G30" s="158" t="n">
        <x:v>10</x:v>
      </x:c>
      <x:c r="H30" s="196" t="n">
        <x:f>$C30*D30*'01_Supuestos'!B$67/1000000</x:f>
        <x:v>0.068</x:v>
      </x:c>
      <x:c r="I30" s="196" t="n">
        <x:f>$C30*E30*'01_Supuestos'!C$67/1000000</x:f>
        <x:v>0.21012</x:v>
      </x:c>
      <x:c r="J30" s="196" t="n">
        <x:f>$C30*F30*'01_Supuestos'!D$67/1000000</x:f>
        <x:v>0.43284719999999993</x:v>
      </x:c>
      <x:c r="K30" s="197" t="n">
        <x:f>$C30*G30*'01_Supuestos'!E$67/1000000</x:f>
        <x:v>0.74305436</x:v>
      </x:c>
    </x:row>
    <x:row r="31">
      <x:c r="A31" s="13" t="inlineStr">
        <x:is>
          <x:t xml:space="preserve">GTM</x:t>
        </x:is>
      </x:c>
      <x:c r="B31" s="14" t="inlineStr">
        <x:is>
          <x:t xml:space="preserve">Marketing / Brand / Web</x:t>
        </x:is>
      </x:c>
      <x:c r="C31" s="158" t="n">
        <x:v>55000</x:v>
      </x:c>
      <x:c r="D31" s="158" t="n">
        <x:v>1</x:v>
      </x:c>
      <x:c r="E31" s="158" t="n">
        <x:v>2</x:v>
      </x:c>
      <x:c r="F31" s="158" t="n">
        <x:v>4</x:v>
      </x:c>
      <x:c r="G31" s="158" t="n">
        <x:v>6</x:v>
      </x:c>
      <x:c r="H31" s="196" t="n">
        <x:f>$C31*D31*'01_Supuestos'!B$67/1000000</x:f>
        <x:v>0.055</x:v>
      </x:c>
      <x:c r="I31" s="196" t="n">
        <x:f>$C31*E31*'01_Supuestos'!C$67/1000000</x:f>
        <x:v>0.1133</x:v>
      </x:c>
      <x:c r="J31" s="196" t="n">
        <x:f>$C31*F31*'01_Supuestos'!D$67/1000000</x:f>
        <x:v>0.233398</x:v>
      </x:c>
      <x:c r="K31" s="197" t="n">
        <x:f>$C31*G31*'01_Supuestos'!E$67/1000000</x:f>
        <x:v>0.36059990999999997</x:v>
      </x:c>
    </x:row>
    <x:row r="32">
      <x:c r="A32" s="13" t="inlineStr">
        <x:is>
          <x:t xml:space="preserve">GTM</x:t>
        </x:is>
      </x:c>
      <x:c r="B32" s="14" t="inlineStr">
        <x:is>
          <x:t xml:space="preserve">Content / Investor Materials</x:t>
        </x:is>
      </x:c>
      <x:c r="C32" s="158" t="n">
        <x:v>52000</x:v>
      </x:c>
      <x:c r="D32" s="158" t="n">
        <x:v>0.5</x:v>
      </x:c>
      <x:c r="E32" s="158" t="n">
        <x:v>1</x:v>
      </x:c>
      <x:c r="F32" s="158" t="n">
        <x:v>2</x:v>
      </x:c>
      <x:c r="G32" s="158" t="n">
        <x:v>3</x:v>
      </x:c>
      <x:c r="H32" s="196" t="n">
        <x:f>$C32*D32*'01_Supuestos'!B$67/1000000</x:f>
        <x:v>0.026</x:v>
      </x:c>
      <x:c r="I32" s="196" t="n">
        <x:f>$C32*E32*'01_Supuestos'!C$67/1000000</x:f>
        <x:v>0.05356</x:v>
      </x:c>
      <x:c r="J32" s="196" t="n">
        <x:f>$C32*F32*'01_Supuestos'!D$67/1000000</x:f>
        <x:v>0.11033359999999999</x:v>
      </x:c>
      <x:c r="K32" s="197" t="n">
        <x:f>$C32*G32*'01_Supuestos'!E$67/1000000</x:f>
        <x:v>0.170465412</x:v>
      </x:c>
    </x:row>
    <x:row r="33">
      <x:c r="A33" s="13" t="inlineStr">
        <x:is>
          <x:t xml:space="preserve">GTM</x:t>
        </x:is>
      </x:c>
      <x:c r="B33" s="14" t="inlineStr">
        <x:is>
          <x:t xml:space="preserve">Sales Ops / CRM</x:t>
        </x:is>
      </x:c>
      <x:c r="C33" s="158" t="n">
        <x:v>52000</x:v>
      </x:c>
      <x:c r="D33" s="158" t="n">
        <x:v>0.5</x:v>
      </x:c>
      <x:c r="E33" s="158" t="n">
        <x:v>1</x:v>
      </x:c>
      <x:c r="F33" s="158" t="n">
        <x:v>2</x:v>
      </x:c>
      <x:c r="G33" s="158" t="n">
        <x:v>3</x:v>
      </x:c>
      <x:c r="H33" s="196" t="n">
        <x:f>$C33*D33*'01_Supuestos'!B$67/1000000</x:f>
        <x:v>0.026</x:v>
      </x:c>
      <x:c r="I33" s="196" t="n">
        <x:f>$C33*E33*'01_Supuestos'!C$67/1000000</x:f>
        <x:v>0.05356</x:v>
      </x:c>
      <x:c r="J33" s="196" t="n">
        <x:f>$C33*F33*'01_Supuestos'!D$67/1000000</x:f>
        <x:v>0.11033359999999999</x:v>
      </x:c>
      <x:c r="K33" s="197" t="n">
        <x:f>$C33*G33*'01_Supuestos'!E$67/1000000</x:f>
        <x:v>0.170465412</x:v>
      </x:c>
    </x:row>
    <x:row r="34">
      <x:c r="A34" s="13" t="inlineStr">
        <x:is>
          <x:t xml:space="preserve">G&amp;A</x:t>
        </x:is>
      </x:c>
      <x:c r="B34" s="14" t="inlineStr">
        <x:is>
          <x:t xml:space="preserve">Finance / Admin</x:t>
        </x:is>
      </x:c>
      <x:c r="C34" s="158" t="n">
        <x:v>48000</x:v>
      </x:c>
      <x:c r="D34" s="158" t="n">
        <x:v>1</x:v>
      </x:c>
      <x:c r="E34" s="158" t="n">
        <x:v>2</x:v>
      </x:c>
      <x:c r="F34" s="158" t="n">
        <x:v>4</x:v>
      </x:c>
      <x:c r="G34" s="158" t="n">
        <x:v>5</x:v>
      </x:c>
      <x:c r="H34" s="196" t="n">
        <x:f>$C34*D34*'01_Supuestos'!B$67/1000000</x:f>
        <x:v>0.048</x:v>
      </x:c>
      <x:c r="I34" s="196" t="n">
        <x:f>$C34*E34*'01_Supuestos'!C$67/1000000</x:f>
        <x:v>0.09888</x:v>
      </x:c>
      <x:c r="J34" s="196" t="n">
        <x:f>$C34*F34*'01_Supuestos'!D$67/1000000</x:f>
        <x:v>0.20369279999999998</x:v>
      </x:c>
      <x:c r="K34" s="197" t="n">
        <x:f>$C34*G34*'01_Supuestos'!E$67/1000000</x:f>
        <x:v>0.26225447999999996</x:v>
      </x:c>
    </x:row>
    <x:row r="35">
      <x:c r="A35" s="13" t="inlineStr">
        <x:is>
          <x:t xml:space="preserve">G&amp;A</x:t>
        </x:is>
      </x:c>
      <x:c r="B35" s="14" t="inlineStr">
        <x:is>
          <x:t xml:space="preserve">Legal / Compliance / IP</x:t>
        </x:is>
      </x:c>
      <x:c r="C35" s="158" t="n">
        <x:v>70000</x:v>
      </x:c>
      <x:c r="D35" s="158" t="n">
        <x:v>0.5</x:v>
      </x:c>
      <x:c r="E35" s="158" t="n">
        <x:v>1</x:v>
      </x:c>
      <x:c r="F35" s="158" t="n">
        <x:v>2</x:v>
      </x:c>
      <x:c r="G35" s="158" t="n">
        <x:v>3</x:v>
      </x:c>
      <x:c r="H35" s="196" t="n">
        <x:f>$C35*D35*'01_Supuestos'!B$67/1000000</x:f>
        <x:v>0.035</x:v>
      </x:c>
      <x:c r="I35" s="196" t="n">
        <x:f>$C35*E35*'01_Supuestos'!C$67/1000000</x:f>
        <x:v>0.0721</x:v>
      </x:c>
      <x:c r="J35" s="196" t="n">
        <x:f>$C35*F35*'01_Supuestos'!D$67/1000000</x:f>
        <x:v>0.148526</x:v>
      </x:c>
      <x:c r="K35" s="197" t="n">
        <x:f>$C35*G35*'01_Supuestos'!E$67/1000000</x:f>
        <x:v>0.22947267000000002</x:v>
      </x:c>
    </x:row>
    <x:row r="36">
      <x:c r="A36" s="13" t="inlineStr">
        <x:is>
          <x:t xml:space="preserve">G&amp;A</x:t>
        </x:is>
      </x:c>
      <x:c r="B36" s="14" t="inlineStr">
        <x:is>
          <x:t xml:space="preserve">People / HR</x:t>
        </x:is>
      </x:c>
      <x:c r="C36" s="158" t="n">
        <x:v>55000</x:v>
      </x:c>
      <x:c r="D36" s="158" t="n">
        <x:v>0</x:v>
      </x:c>
      <x:c r="E36" s="158" t="n">
        <x:v>1</x:v>
      </x:c>
      <x:c r="F36" s="158" t="n">
        <x:v>2</x:v>
      </x:c>
      <x:c r="G36" s="158" t="n">
        <x:v>4</x:v>
      </x:c>
      <x:c r="H36" s="196" t="n">
        <x:f>$C36*D36*'01_Supuestos'!B$67/1000000</x:f>
        <x:v>0</x:v>
      </x:c>
      <x:c r="I36" s="196" t="n">
        <x:f>$C36*E36*'01_Supuestos'!C$67/1000000</x:f>
        <x:v>0.05665</x:v>
      </x:c>
      <x:c r="J36" s="196" t="n">
        <x:f>$C36*F36*'01_Supuestos'!D$67/1000000</x:f>
        <x:v>0.116699</x:v>
      </x:c>
      <x:c r="K36" s="197" t="n">
        <x:f>$C36*G36*'01_Supuestos'!E$67/1000000</x:f>
        <x:v>0.24039994</x:v>
      </x:c>
    </x:row>
    <x:row r="37">
      <x:c r="A37" s="13" t="inlineStr">
        <x:is>
          <x:t xml:space="preserve">G&amp;A</x:t>
        </x:is>
      </x:c>
      <x:c r="B37" s="14" t="inlineStr">
        <x:is>
          <x:t xml:space="preserve">Office / Procurement</x:t>
        </x:is>
      </x:c>
      <x:c r="C37" s="158" t="n">
        <x:v>42000</x:v>
      </x:c>
      <x:c r="D37" s="158" t="n">
        <x:v>0.5</x:v>
      </x:c>
      <x:c r="E37" s="158" t="n">
        <x:v>1</x:v>
      </x:c>
      <x:c r="F37" s="158" t="n">
        <x:v>2</x:v>
      </x:c>
      <x:c r="G37" s="158" t="n">
        <x:v>3</x:v>
      </x:c>
      <x:c r="H37" s="196" t="n">
        <x:f>$C37*D37*'01_Supuestos'!B$67/1000000</x:f>
        <x:v>0.021</x:v>
      </x:c>
      <x:c r="I37" s="196" t="n">
        <x:f>$C37*E37*'01_Supuestos'!C$67/1000000</x:f>
        <x:v>0.04326</x:v>
      </x:c>
      <x:c r="J37" s="196" t="n">
        <x:f>$C37*F37*'01_Supuestos'!D$67/1000000</x:f>
        <x:v>0.08911559999999999</x:v>
      </x:c>
      <x:c r="K37" s="197" t="n">
        <x:f>$C37*G37*'01_Supuestos'!E$67/1000000</x:f>
        <x:v>0.13768360200000002</x:v>
      </x:c>
    </x:row>
    <x:row r="38">
      <x:c r="A38" s="198" t="inlineStr">
        <x:is>
          <x:t xml:space="preserve">TOTAL PERSONAL</x:t>
        </x:is>
      </x:c>
      <x:c r="B38" s="198" t="str"/>
      <x:c r="C38" s="198" t="str"/>
      <x:c r="D38" s="198" t="n">
        <x:f>SUM(D6:D37)</x:f>
        <x:v>36</x:v>
      </x:c>
      <x:c r="E38" s="198" t="n">
        <x:f>SUM(E6:E37)</x:f>
        <x:v>91</x:v>
      </x:c>
      <x:c r="F38" s="198" t="n">
        <x:f>SUM(F6:F37)</x:f>
        <x:v>162</x:v>
      </x:c>
      <x:c r="G38" s="198" t="n">
        <x:f>SUM(G6:G37)</x:f>
        <x:v>256</x:v>
      </x:c>
      <x:c r="H38" s="199" t="n">
        <x:f>SUM(H6:H37)</x:f>
        <x:v>2.4195</x:v>
      </x:c>
      <x:c r="I38" s="199" t="n">
        <x:f>SUM(I6:I37)</x:f>
        <x:v>6.057430000000001</x:v>
      </x:c>
      <x:c r="J38" s="199" t="n">
        <x:f>SUM(J6:J37)</x:f>
        <x:v>10.8593724</x:v>
      </x:c>
      <x:c r="K38" s="199" t="n">
        <x:f>SUM(K6:K37)</x:f>
        <x:v>17.525155625999997</x:v>
      </x:c>
    </x:row>
    <x:row r="39">
      <x:c r="A39" s="13" t="n"/>
      <x:c r="B39" s="14" t="n"/>
      <x:c r="C39" s="14" t="n"/>
      <x:c r="D39" s="14" t="n"/>
      <x:c r="E39" s="14" t="n"/>
      <x:c r="F39" s="14" t="n"/>
      <x:c r="G39" s="14" t="n"/>
      <x:c r="H39" s="14" t="n"/>
      <x:c r="I39" s="14" t="n"/>
      <x:c r="J39" s="14" t="n"/>
      <x:c r="K39" s="15" t="n"/>
    </x:row>
    <x:row r="40">
      <x:c r="A40" s="13" t="n"/>
      <x:c r="B40" s="14" t="n"/>
      <x:c r="C40" s="14" t="n"/>
      <x:c r="D40" s="14" t="n"/>
      <x:c r="E40" s="14" t="n"/>
      <x:c r="F40" s="14" t="n"/>
      <x:c r="G40" s="14" t="n"/>
      <x:c r="H40" s="14" t="n"/>
      <x:c r="I40" s="14" t="n"/>
      <x:c r="J40" s="14" t="n"/>
      <x:c r="K40" s="15" t="n"/>
    </x:row>
    <x:row r="41" ht="26" customHeight="1">
      <x:c r="A41" s="187" t="inlineStr">
        <x:is>
          <x:t xml:space="preserve">Hipótesis aplicadas a personal</x:t>
        </x:is>
      </x:c>
      <x:c r="B41" s="188" t="n"/>
      <x:c r="C41" s="188" t="n"/>
      <x:c r="D41" s="188" t="n"/>
      <x:c r="E41" s="188" t="n"/>
      <x:c r="F41" s="189" t="n"/>
      <x:c r="G41" s="14" t="n"/>
      <x:c r="H41" s="14" t="n"/>
      <x:c r="I41" s="14" t="n"/>
      <x:c r="J41" s="14" t="n"/>
      <x:c r="K41" s="15" t="n"/>
    </x:row>
    <x:row r="42" ht="34" customHeight="1">
      <x:c r="A42" s="190" t="inlineStr">
        <x:is>
          <x:t xml:space="preserve">El coste por perfil es coste empresa total: sueldo base por FTE, factor salarial acumulado y conciliación en 03b_Coste_Empresa_SS.</x:t>
        </x:is>
      </x:c>
      <x:c r="B42" s="188" t="n"/>
      <x:c r="C42" s="188" t="n"/>
      <x:c r="D42" s="188" t="n"/>
      <x:c r="E42" s="188" t="n"/>
      <x:c r="F42" s="189" t="n"/>
      <x:c r="G42" s="14" t="n"/>
      <x:c r="H42" s="14" t="n"/>
      <x:c r="I42" s="14" t="n"/>
      <x:c r="J42" s="14" t="n"/>
      <x:c r="K42" s="15" t="n"/>
    </x:row>
    <x:row r="43">
      <x:c r="A43" s="191" t="inlineStr">
        <x:is>
          <x:t xml:space="preserve">Concepto</x:t>
        </x:is>
      </x:c>
      <x:c r="B43" s="191" t="inlineStr">
        <x:is>
          <x:t xml:space="preserve">2026/27</x:t>
        </x:is>
      </x:c>
      <x:c r="C43" s="191" t="inlineStr">
        <x:is>
          <x:t xml:space="preserve">2028</x:t>
        </x:is>
      </x:c>
      <x:c r="D43" s="191" t="inlineStr">
        <x:is>
          <x:t xml:space="preserve">2029</x:t>
        </x:is>
      </x:c>
      <x:c r="E43" s="191" t="inlineStr">
        <x:is>
          <x:t xml:space="preserve">2030</x:t>
        </x:is>
      </x:c>
      <x:c r="F43" s="191" t="inlineStr">
        <x:is>
          <x:t xml:space="preserve">Fuente</x:t>
        </x:is>
      </x:c>
      <x:c r="G43" s="14" t="n"/>
      <x:c r="H43" s="14" t="n"/>
      <x:c r="I43" s="14" t="n"/>
      <x:c r="J43" s="14" t="n"/>
      <x:c r="K43" s="15" t="n"/>
    </x:row>
    <x:row r="44">
      <x:c r="A44" s="194" t="inlineStr">
        <x:is>
          <x:t xml:space="preserve">Incremento salarial anual</x:t>
        </x:is>
      </x:c>
      <x:c r="B44" s="193" t="n">
        <x:f>'01_Supuestos'!B$66</x:f>
        <x:v>0</x:v>
      </x:c>
      <x:c r="C44" s="193" t="n">
        <x:f>'01_Supuestos'!C$66</x:f>
        <x:v>0.03</x:v>
      </x:c>
      <x:c r="D44" s="193" t="n">
        <x:f>'01_Supuestos'!D$66</x:f>
        <x:v>0.03</x:v>
      </x:c>
      <x:c r="E44" s="193" t="n">
        <x:f>'01_Supuestos'!E$66</x:f>
        <x:v>0.03</x:v>
      </x:c>
      <x:c r="F44" s="194" t="inlineStr">
        <x:is>
          <x:t xml:space="preserve">01_Supuestos</x:t>
        </x:is>
      </x:c>
      <x:c r="G44" s="14" t="n"/>
      <x:c r="H44" s="14" t="n"/>
      <x:c r="I44" s="14" t="n"/>
      <x:c r="J44" s="14" t="n"/>
      <x:c r="K44" s="15" t="n"/>
    </x:row>
    <x:row r="45">
      <x:c r="A45" s="194" t="inlineStr">
        <x:is>
          <x:t xml:space="preserve">Factor salarial acumulado</x:t>
        </x:is>
      </x:c>
      <x:c r="B45" s="195" t="n">
        <x:f>'01_Supuestos'!B$67</x:f>
        <x:v>1</x:v>
      </x:c>
      <x:c r="C45" s="195" t="n">
        <x:f>'01_Supuestos'!C$67</x:f>
        <x:v>1.03</x:v>
      </x:c>
      <x:c r="D45" s="195" t="n">
        <x:f>'01_Supuestos'!D$67</x:f>
        <x:v>1.0609</x:v>
      </x:c>
      <x:c r="E45" s="195" t="n">
        <x:f>'01_Supuestos'!E$67</x:f>
        <x:v>1.092727</x:v>
      </x:c>
      <x:c r="F45" s="194" t="inlineStr">
        <x:is>
          <x:t xml:space="preserve">01_Supuestos</x:t>
        </x:is>
      </x:c>
      <x:c r="G45" s="14" t="n"/>
      <x:c r="H45" s="14" t="n"/>
      <x:c r="I45" s="14" t="n"/>
      <x:c r="J45" s="14" t="n"/>
      <x:c r="K45" s="15" t="n"/>
    </x:row>
    <x:row r="46">
      <x:c r="A46" s="194" t="inlineStr">
        <x:is>
          <x:t xml:space="preserve">Tasa coste empresa / SS</x:t>
        </x:is>
      </x:c>
      <x:c r="B46" s="193" t="n">
        <x:f>'01_Supuestos'!B$68</x:f>
        <x:v>0.31</x:v>
      </x:c>
      <x:c r="C46" s="193" t="n">
        <x:f>'01_Supuestos'!C$68</x:f>
        <x:v>0.31</x:v>
      </x:c>
      <x:c r="D46" s="193" t="n">
        <x:f>'01_Supuestos'!D$68</x:f>
        <x:v>0.31</x:v>
      </x:c>
      <x:c r="E46" s="193" t="n">
        <x:f>'01_Supuestos'!E$68</x:f>
        <x:v>0.31</x:v>
      </x:c>
      <x:c r="F46" s="194" t="inlineStr">
        <x:is>
          <x:t xml:space="preserve">01_Supuestos</x:t>
        </x:is>
      </x:c>
      <x:c r="G46" s="14" t="n"/>
      <x:c r="H46" s="14" t="n"/>
      <x:c r="I46" s="14" t="n"/>
      <x:c r="J46" s="14" t="n"/>
      <x:c r="K46" s="15" t="n"/>
    </x:row>
    <x:row r="47">
      <x:c r="A47" s="13" t="n"/>
      <x:c r="B47" s="14" t="n"/>
      <x:c r="C47" s="14" t="n"/>
      <x:c r="D47" s="14" t="n"/>
      <x:c r="E47" s="14" t="n"/>
      <x:c r="F47" s="14" t="n"/>
      <x:c r="G47" s="14" t="n"/>
      <x:c r="H47" s="14" t="n"/>
      <x:c r="I47" s="14" t="n"/>
      <x:c r="J47" s="14" t="n"/>
      <x:c r="K47" s="15" t="n"/>
    </x:row>
    <x:row r="48">
      <x:c r="A48" s="13" t="n"/>
      <x:c r="B48" s="14" t="n"/>
      <x:c r="C48" s="14" t="n"/>
      <x:c r="D48" s="14" t="n"/>
      <x:c r="E48" s="14" t="n"/>
      <x:c r="F48" s="14" t="n"/>
      <x:c r="G48" s="14" t="n"/>
      <x:c r="H48" s="14" t="n"/>
      <x:c r="I48" s="14" t="n"/>
      <x:c r="J48" s="14" t="n"/>
      <x:c r="K48" s="15" t="n"/>
    </x:row>
    <x:row r="49">
      <x:c r="A49" s="13" t="n"/>
      <x:c r="B49" s="14" t="n"/>
      <x:c r="C49" s="14" t="n"/>
      <x:c r="D49" s="14" t="n"/>
      <x:c r="E49" s="14" t="n"/>
      <x:c r="F49" s="14" t="n"/>
      <x:c r="G49" s="14" t="n"/>
      <x:c r="H49" s="14" t="n"/>
      <x:c r="I49" s="14" t="n"/>
      <x:c r="J49" s="14" t="n"/>
      <x:c r="K49" s="15" t="n"/>
    </x:row>
    <x:row r="50">
      <x:c r="A50" s="13" t="n"/>
      <x:c r="B50" s="14" t="n"/>
      <x:c r="C50" s="14" t="n"/>
      <x:c r="D50" s="14" t="n"/>
      <x:c r="E50" s="14" t="n"/>
      <x:c r="F50" s="14" t="n"/>
      <x:c r="G50" s="14" t="n"/>
      <x:c r="H50" s="14" t="n"/>
      <x:c r="I50" s="14" t="n"/>
      <x:c r="J50" s="14" t="n"/>
      <x:c r="K50" s="15" t="n"/>
    </x:row>
    <x:row r="51">
      <x:c r="A51" s="13" t="n"/>
      <x:c r="B51" s="14" t="n"/>
      <x:c r="C51" s="14" t="n"/>
      <x:c r="D51" s="14" t="n"/>
      <x:c r="E51" s="14" t="n"/>
      <x:c r="F51" s="14" t="n"/>
      <x:c r="G51" s="14" t="n"/>
      <x:c r="H51" s="14" t="n"/>
      <x:c r="I51" s="14" t="n"/>
      <x:c r="J51" s="14" t="n"/>
      <x:c r="K51" s="15" t="n"/>
    </x:row>
    <x:row r="52">
      <x:c r="A52" s="13" t="n"/>
      <x:c r="B52" s="14" t="n"/>
      <x:c r="C52" s="14" t="n"/>
      <x:c r="D52" s="14" t="n"/>
      <x:c r="E52" s="14" t="n"/>
      <x:c r="F52" s="14" t="n"/>
      <x:c r="G52" s="14" t="n"/>
      <x:c r="H52" s="14" t="n"/>
      <x:c r="I52" s="14" t="n"/>
      <x:c r="J52" s="14" t="n"/>
      <x:c r="K52" s="15" t="n"/>
    </x:row>
    <x:row r="53">
      <x:c r="A53" s="13" t="n"/>
      <x:c r="B53" s="14" t="n"/>
      <x:c r="C53" s="14" t="n"/>
      <x:c r="D53" s="14" t="n"/>
      <x:c r="E53" s="14" t="n"/>
      <x:c r="F53" s="14" t="n"/>
      <x:c r="G53" s="14" t="n"/>
      <x:c r="H53" s="14" t="n"/>
      <x:c r="I53" s="14" t="n"/>
      <x:c r="J53" s="14" t="n"/>
      <x:c r="K53" s="15" t="n"/>
    </x:row>
    <x:row r="54">
      <x:c r="A54" s="13" t="n"/>
      <x:c r="B54" s="14" t="n"/>
      <x:c r="C54" s="14" t="n"/>
      <x:c r="D54" s="14" t="n"/>
      <x:c r="E54" s="14" t="n"/>
      <x:c r="F54" s="14" t="n"/>
      <x:c r="G54" s="14" t="n"/>
      <x:c r="H54" s="14" t="n"/>
      <x:c r="I54" s="14" t="n"/>
      <x:c r="J54" s="14" t="n"/>
      <x:c r="K54" s="15" t="n"/>
    </x:row>
    <x:row r="55">
      <x:c r="A55" s="13" t="n"/>
      <x:c r="B55" s="14" t="n"/>
      <x:c r="C55" s="14" t="n"/>
      <x:c r="D55" s="14" t="n"/>
      <x:c r="E55" s="14" t="n"/>
      <x:c r="F55" s="14" t="n"/>
      <x:c r="G55" s="14" t="n"/>
      <x:c r="H55" s="14" t="n"/>
      <x:c r="I55" s="14" t="n"/>
      <x:c r="J55" s="14" t="n"/>
      <x:c r="K55" s="15" t="n"/>
    </x:row>
    <x:row r="56">
      <x:c r="A56" s="13" t="n"/>
      <x:c r="B56" s="14" t="n"/>
      <x:c r="C56" s="14" t="n"/>
      <x:c r="D56" s="14" t="n"/>
      <x:c r="E56" s="14" t="n"/>
      <x:c r="F56" s="14" t="n"/>
      <x:c r="G56" s="14" t="n"/>
      <x:c r="H56" s="14" t="n"/>
      <x:c r="I56" s="14" t="n"/>
      <x:c r="J56" s="14" t="n"/>
      <x:c r="K56" s="15" t="n"/>
    </x:row>
    <x:row r="57">
      <x:c r="A57" s="13" t="n"/>
      <x:c r="B57" s="14" t="n"/>
      <x:c r="C57" s="14" t="n"/>
      <x:c r="D57" s="14" t="n"/>
      <x:c r="E57" s="14" t="n"/>
      <x:c r="F57" s="14" t="n"/>
      <x:c r="G57" s="14" t="n"/>
      <x:c r="H57" s="14" t="n"/>
      <x:c r="I57" s="14" t="n"/>
      <x:c r="J57" s="14" t="n"/>
      <x:c r="K57" s="15" t="n"/>
    </x:row>
    <x:row r="58">
      <x:c r="A58" s="13" t="n"/>
      <x:c r="B58" s="14" t="n"/>
      <x:c r="C58" s="14" t="n"/>
      <x:c r="D58" s="14" t="n"/>
      <x:c r="E58" s="14" t="n"/>
      <x:c r="F58" s="14" t="n"/>
      <x:c r="G58" s="14" t="n"/>
      <x:c r="H58" s="14" t="n"/>
      <x:c r="I58" s="14" t="n"/>
      <x:c r="J58" s="14" t="n"/>
      <x:c r="K58" s="15" t="n"/>
    </x:row>
    <x:row r="59">
      <x:c r="A59" s="13" t="n"/>
      <x:c r="B59" s="14" t="n"/>
      <x:c r="C59" s="14" t="n"/>
      <x:c r="D59" s="14" t="n"/>
      <x:c r="E59" s="14" t="n"/>
      <x:c r="F59" s="14" t="n"/>
      <x:c r="G59" s="14" t="n"/>
      <x:c r="H59" s="14" t="n"/>
      <x:c r="I59" s="14" t="n"/>
      <x:c r="J59" s="14" t="n"/>
      <x:c r="K59" s="15" t="n"/>
    </x:row>
    <x:row r="60">
      <x:c r="A60" s="13" t="n"/>
      <x:c r="B60" s="14" t="n"/>
      <x:c r="C60" s="14" t="n"/>
      <x:c r="D60" s="14" t="n"/>
      <x:c r="E60" s="14" t="n"/>
      <x:c r="F60" s="14" t="n"/>
      <x:c r="G60" s="14" t="n"/>
      <x:c r="H60" s="14" t="n"/>
      <x:c r="I60" s="14" t="n"/>
      <x:c r="J60" s="14" t="n"/>
      <x:c r="K60" s="15" t="n"/>
    </x:row>
    <x:row r="61">
      <x:c r="A61" s="13" t="n"/>
      <x:c r="B61" s="14" t="n"/>
      <x:c r="C61" s="14" t="n"/>
      <x:c r="D61" s="14" t="n"/>
      <x:c r="E61" s="14" t="n"/>
      <x:c r="F61" s="14" t="n"/>
      <x:c r="G61" s="14" t="n"/>
      <x:c r="H61" s="14" t="n"/>
      <x:c r="I61" s="14" t="n"/>
      <x:c r="J61" s="14" t="n"/>
      <x:c r="K61" s="15" t="n"/>
    </x:row>
    <x:row r="62">
      <x:c r="A62" s="13" t="n"/>
      <x:c r="B62" s="14" t="n"/>
      <x:c r="C62" s="14" t="n"/>
      <x:c r="D62" s="14" t="n"/>
      <x:c r="E62" s="14" t="n"/>
      <x:c r="F62" s="14" t="n"/>
      <x:c r="G62" s="14" t="n"/>
      <x:c r="H62" s="14" t="n"/>
      <x:c r="I62" s="14" t="n"/>
      <x:c r="J62" s="14" t="n"/>
      <x:c r="K62" s="15" t="n"/>
    </x:row>
    <x:row r="63">
      <x:c r="A63" s="13" t="n"/>
      <x:c r="B63" s="14" t="n"/>
      <x:c r="C63" s="14" t="n"/>
      <x:c r="D63" s="14" t="n"/>
      <x:c r="E63" s="14" t="n"/>
      <x:c r="F63" s="14" t="n"/>
      <x:c r="G63" s="14" t="n"/>
      <x:c r="H63" s="14" t="n"/>
      <x:c r="I63" s="14" t="n"/>
      <x:c r="J63" s="14" t="n"/>
      <x:c r="K63" s="15" t="n"/>
    </x:row>
    <x:row r="64">
      <x:c r="A64" s="13" t="n"/>
      <x:c r="B64" s="14" t="n"/>
      <x:c r="C64" s="14" t="n"/>
      <x:c r="D64" s="14" t="n"/>
      <x:c r="E64" s="14" t="n"/>
      <x:c r="F64" s="14" t="n"/>
      <x:c r="G64" s="14" t="n"/>
      <x:c r="H64" s="14" t="n"/>
      <x:c r="I64" s="14" t="n"/>
      <x:c r="J64" s="14" t="n"/>
      <x:c r="K64" s="15" t="n"/>
    </x:row>
    <x:row r="65">
      <x:c r="A65" s="13" t="n"/>
      <x:c r="B65" s="14" t="n"/>
      <x:c r="C65" s="14" t="n"/>
      <x:c r="D65" s="14" t="n"/>
      <x:c r="E65" s="14" t="n"/>
      <x:c r="F65" s="14" t="n"/>
      <x:c r="G65" s="14" t="n"/>
      <x:c r="H65" s="14" t="n"/>
      <x:c r="I65" s="14" t="n"/>
      <x:c r="J65" s="14" t="n"/>
      <x:c r="K65" s="15" t="n"/>
    </x:row>
    <x:row r="66">
      <x:c r="A66" s="13" t="n"/>
      <x:c r="B66" s="14" t="n"/>
      <x:c r="C66" s="14" t="n"/>
      <x:c r="D66" s="14" t="n"/>
      <x:c r="E66" s="14" t="n"/>
      <x:c r="F66" s="14" t="n"/>
      <x:c r="G66" s="14" t="n"/>
      <x:c r="H66" s="14" t="n"/>
      <x:c r="I66" s="14" t="n"/>
      <x:c r="J66" s="14" t="n"/>
      <x:c r="K66" s="15" t="n"/>
    </x:row>
    <x:row r="67">
      <x:c r="A67" s="13" t="n"/>
      <x:c r="B67" s="14" t="n"/>
      <x:c r="C67" s="14" t="n"/>
      <x:c r="D67" s="14" t="n"/>
      <x:c r="E67" s="14" t="n"/>
      <x:c r="F67" s="14" t="n"/>
      <x:c r="G67" s="14" t="n"/>
      <x:c r="H67" s="14" t="n"/>
      <x:c r="I67" s="14" t="n"/>
      <x:c r="J67" s="14" t="n"/>
      <x:c r="K67" s="15" t="n"/>
    </x:row>
    <x:row r="68">
      <x:c r="A68" s="13" t="n"/>
      <x:c r="B68" s="14" t="n"/>
      <x:c r="C68" s="14" t="n"/>
      <x:c r="D68" s="14" t="n"/>
      <x:c r="E68" s="14" t="n"/>
      <x:c r="F68" s="14" t="n"/>
      <x:c r="G68" s="14" t="n"/>
      <x:c r="H68" s="14" t="n"/>
      <x:c r="I68" s="14" t="n"/>
      <x:c r="J68" s="14" t="n"/>
      <x:c r="K68" s="15" t="n"/>
    </x:row>
    <x:row r="69">
      <x:c r="A69" s="13" t="n"/>
      <x:c r="B69" s="14" t="n"/>
      <x:c r="C69" s="14" t="n"/>
      <x:c r="D69" s="14" t="n"/>
      <x:c r="E69" s="14" t="n"/>
      <x:c r="F69" s="14" t="n"/>
      <x:c r="G69" s="14" t="n"/>
      <x:c r="H69" s="14" t="n"/>
      <x:c r="I69" s="14" t="n"/>
      <x:c r="J69" s="14" t="n"/>
      <x:c r="K69" s="15" t="n"/>
    </x:row>
    <x:row r="70">
      <x:c r="A70" s="13" t="n"/>
      <x:c r="B70" s="14" t="n"/>
      <x:c r="C70" s="14" t="n"/>
      <x:c r="D70" s="14" t="n"/>
      <x:c r="E70" s="14" t="n"/>
      <x:c r="F70" s="14" t="n"/>
      <x:c r="G70" s="14" t="n"/>
      <x:c r="H70" s="14" t="n"/>
      <x:c r="I70" s="14" t="n"/>
      <x:c r="J70" s="14" t="n"/>
      <x:c r="K70" s="15" t="n"/>
    </x:row>
    <x:row r="71">
      <x:c r="A71" s="13" t="n"/>
      <x:c r="B71" s="14" t="n"/>
      <x:c r="C71" s="14" t="n"/>
      <x:c r="D71" s="14" t="n"/>
      <x:c r="E71" s="14" t="n"/>
      <x:c r="F71" s="14" t="n"/>
      <x:c r="G71" s="14" t="n"/>
      <x:c r="H71" s="14" t="n"/>
      <x:c r="I71" s="14" t="n"/>
      <x:c r="J71" s="14" t="n"/>
      <x:c r="K71" s="15" t="n"/>
    </x:row>
    <x:row r="72">
      <x:c r="A72" s="13" t="n"/>
      <x:c r="B72" s="14" t="n"/>
      <x:c r="C72" s="14" t="n"/>
      <x:c r="D72" s="14" t="n"/>
      <x:c r="E72" s="14" t="n"/>
      <x:c r="F72" s="14" t="n"/>
      <x:c r="G72" s="14" t="n"/>
      <x:c r="H72" s="14" t="n"/>
      <x:c r="I72" s="14" t="n"/>
      <x:c r="J72" s="14" t="n"/>
      <x:c r="K72" s="15" t="n"/>
    </x:row>
    <x:row r="73">
      <x:c r="A73" s="13" t="n"/>
      <x:c r="B73" s="14" t="n"/>
      <x:c r="C73" s="14" t="n"/>
      <x:c r="D73" s="14" t="n"/>
      <x:c r="E73" s="14" t="n"/>
      <x:c r="F73" s="14" t="n"/>
      <x:c r="G73" s="14" t="n"/>
      <x:c r="H73" s="14" t="n"/>
      <x:c r="I73" s="14" t="n"/>
      <x:c r="J73" s="14" t="n"/>
      <x:c r="K73" s="15" t="n"/>
    </x:row>
    <x:row r="74">
      <x:c r="A74" s="13" t="n"/>
      <x:c r="B74" s="14" t="n"/>
      <x:c r="C74" s="14" t="n"/>
      <x:c r="D74" s="14" t="n"/>
      <x:c r="E74" s="14" t="n"/>
      <x:c r="F74" s="14" t="n"/>
      <x:c r="G74" s="14" t="n"/>
      <x:c r="H74" s="14" t="n"/>
      <x:c r="I74" s="14" t="n"/>
      <x:c r="J74" s="14" t="n"/>
      <x:c r="K74" s="15" t="n"/>
    </x:row>
    <x:row r="75">
      <x:c r="A75" s="13" t="n"/>
      <x:c r="B75" s="14" t="n"/>
      <x:c r="C75" s="14" t="n"/>
      <x:c r="D75" s="14" t="n"/>
      <x:c r="E75" s="14" t="n"/>
      <x:c r="F75" s="14" t="n"/>
      <x:c r="G75" s="14" t="n"/>
      <x:c r="H75" s="14" t="n"/>
      <x:c r="I75" s="14" t="n"/>
      <x:c r="J75" s="14" t="n"/>
      <x:c r="K75" s="15" t="n"/>
    </x:row>
    <x:row r="76">
      <x:c r="A76" s="13" t="n"/>
      <x:c r="B76" s="14" t="n"/>
      <x:c r="C76" s="14" t="n"/>
      <x:c r="D76" s="14" t="n"/>
      <x:c r="E76" s="14" t="n"/>
      <x:c r="F76" s="14" t="n"/>
      <x:c r="G76" s="14" t="n"/>
      <x:c r="H76" s="14" t="n"/>
      <x:c r="I76" s="14" t="n"/>
      <x:c r="J76" s="14" t="n"/>
      <x:c r="K76" s="15" t="n"/>
    </x:row>
    <x:row r="77">
      <x:c r="A77" s="13" t="n"/>
      <x:c r="B77" s="14" t="n"/>
      <x:c r="C77" s="14" t="n"/>
      <x:c r="D77" s="14" t="n"/>
      <x:c r="E77" s="14" t="n"/>
      <x:c r="F77" s="14" t="n"/>
      <x:c r="G77" s="14" t="n"/>
      <x:c r="H77" s="14" t="n"/>
      <x:c r="I77" s="14" t="n"/>
      <x:c r="J77" s="14" t="n"/>
      <x:c r="K77" s="15" t="n"/>
    </x:row>
    <x:row r="78">
      <x:c r="A78" s="13" t="n"/>
      <x:c r="B78" s="14" t="n"/>
      <x:c r="C78" s="14" t="n"/>
      <x:c r="D78" s="14" t="n"/>
      <x:c r="E78" s="14" t="n"/>
      <x:c r="F78" s="14" t="n"/>
      <x:c r="G78" s="14" t="n"/>
      <x:c r="H78" s="14" t="n"/>
      <x:c r="I78" s="14" t="n"/>
      <x:c r="J78" s="14" t="n"/>
      <x:c r="K78" s="15" t="n"/>
    </x:row>
    <x:row r="79">
      <x:c r="A79" s="13" t="n"/>
      <x:c r="B79" s="14" t="n"/>
      <x:c r="C79" s="14" t="n"/>
      <x:c r="D79" s="14" t="n"/>
      <x:c r="E79" s="14" t="n"/>
      <x:c r="F79" s="14" t="n"/>
      <x:c r="G79" s="14" t="n"/>
      <x:c r="H79" s="14" t="n"/>
      <x:c r="I79" s="14" t="n"/>
      <x:c r="J79" s="14" t="n"/>
      <x:c r="K79" s="15" t="n"/>
    </x:row>
    <x:row r="80">
      <x:c r="A80" s="13" t="n"/>
      <x:c r="B80" s="14" t="n"/>
      <x:c r="C80" s="14" t="n"/>
      <x:c r="D80" s="14" t="n"/>
      <x:c r="E80" s="14" t="n"/>
      <x:c r="F80" s="14" t="n"/>
      <x:c r="G80" s="14" t="n"/>
      <x:c r="H80" s="14" t="n"/>
      <x:c r="I80" s="14" t="n"/>
      <x:c r="J80" s="14" t="n"/>
      <x:c r="K80" s="15" t="n"/>
    </x:row>
    <x:row r="81">
      <x:c r="A81" s="13" t="n"/>
      <x:c r="B81" s="14" t="n"/>
      <x:c r="C81" s="14" t="n"/>
      <x:c r="D81" s="14" t="n"/>
      <x:c r="E81" s="14" t="n"/>
      <x:c r="F81" s="14" t="n"/>
      <x:c r="G81" s="14" t="n"/>
      <x:c r="H81" s="14" t="n"/>
      <x:c r="I81" s="14" t="n"/>
      <x:c r="J81" s="14" t="n"/>
      <x:c r="K81" s="15" t="n"/>
    </x:row>
    <x:row r="82">
      <x:c r="A82" s="13" t="n"/>
      <x:c r="B82" s="14" t="n"/>
      <x:c r="C82" s="14" t="n"/>
      <x:c r="D82" s="14" t="n"/>
      <x:c r="E82" s="14" t="n"/>
      <x:c r="F82" s="14" t="n"/>
      <x:c r="G82" s="14" t="n"/>
      <x:c r="H82" s="14" t="n"/>
      <x:c r="I82" s="14" t="n"/>
      <x:c r="J82" s="14" t="n"/>
      <x:c r="K82" s="15" t="n"/>
    </x:row>
    <x:row r="83">
      <x:c r="A83" s="13" t="n"/>
      <x:c r="B83" s="14" t="n"/>
      <x:c r="C83" s="14" t="n"/>
      <x:c r="D83" s="14" t="n"/>
      <x:c r="E83" s="14" t="n"/>
      <x:c r="F83" s="14" t="n"/>
      <x:c r="G83" s="14" t="n"/>
      <x:c r="H83" s="14" t="n"/>
      <x:c r="I83" s="14" t="n"/>
      <x:c r="J83" s="14" t="n"/>
      <x:c r="K83" s="15" t="n"/>
    </x:row>
    <x:row r="84">
      <x:c r="A84" s="13" t="n"/>
      <x:c r="B84" s="14" t="n"/>
      <x:c r="C84" s="14" t="n"/>
      <x:c r="D84" s="14" t="n"/>
      <x:c r="E84" s="14" t="n"/>
      <x:c r="F84" s="14" t="n"/>
      <x:c r="G84" s="14" t="n"/>
      <x:c r="H84" s="14" t="n"/>
      <x:c r="I84" s="14" t="n"/>
      <x:c r="J84" s="14" t="n"/>
      <x:c r="K84" s="15" t="n"/>
    </x:row>
    <x:row r="85">
      <x:c r="A85" s="13" t="n"/>
      <x:c r="B85" s="14" t="n"/>
      <x:c r="C85" s="14" t="n"/>
      <x:c r="D85" s="14" t="n"/>
      <x:c r="E85" s="14" t="n"/>
      <x:c r="F85" s="14" t="n"/>
      <x:c r="G85" s="14" t="n"/>
      <x:c r="H85" s="14" t="n"/>
      <x:c r="I85" s="14" t="n"/>
      <x:c r="J85" s="14" t="n"/>
      <x:c r="K85" s="15" t="n"/>
    </x:row>
    <x:row r="86">
      <x:c r="A86" s="13" t="n"/>
      <x:c r="B86" s="14" t="n"/>
      <x:c r="C86" s="14" t="n"/>
      <x:c r="D86" s="14" t="n"/>
      <x:c r="E86" s="14" t="n"/>
      <x:c r="F86" s="14" t="n"/>
      <x:c r="G86" s="14" t="n"/>
      <x:c r="H86" s="14" t="n"/>
      <x:c r="I86" s="14" t="n"/>
      <x:c r="J86" s="14" t="n"/>
      <x:c r="K86" s="15" t="n"/>
    </x:row>
    <x:row r="87">
      <x:c r="A87" s="13" t="n"/>
      <x:c r="B87" s="14" t="n"/>
      <x:c r="C87" s="14" t="n"/>
      <x:c r="D87" s="14" t="n"/>
      <x:c r="E87" s="14" t="n"/>
      <x:c r="F87" s="14" t="n"/>
      <x:c r="G87" s="14" t="n"/>
      <x:c r="H87" s="14" t="n"/>
      <x:c r="I87" s="14" t="n"/>
      <x:c r="J87" s="14" t="n"/>
      <x:c r="K87" s="15" t="n"/>
    </x:row>
    <x:row r="88">
      <x:c r="A88" s="13" t="n"/>
      <x:c r="B88" s="14" t="n"/>
      <x:c r="C88" s="14" t="n"/>
      <x:c r="D88" s="14" t="n"/>
      <x:c r="E88" s="14" t="n"/>
      <x:c r="F88" s="14" t="n"/>
      <x:c r="G88" s="14" t="n"/>
      <x:c r="H88" s="14" t="n"/>
      <x:c r="I88" s="14" t="n"/>
      <x:c r="J88" s="14" t="n"/>
      <x:c r="K88" s="15" t="n"/>
    </x:row>
    <x:row r="89">
      <x:c r="A89" s="13" t="n"/>
      <x:c r="B89" s="14" t="n"/>
      <x:c r="C89" s="14" t="n"/>
      <x:c r="D89" s="14" t="n"/>
      <x:c r="E89" s="14" t="n"/>
      <x:c r="F89" s="14" t="n"/>
      <x:c r="G89" s="14" t="n"/>
      <x:c r="H89" s="14" t="n"/>
      <x:c r="I89" s="14" t="n"/>
      <x:c r="J89" s="14" t="n"/>
      <x:c r="K89" s="15" t="n"/>
    </x:row>
    <x:row r="90">
      <x:c r="A90" s="13" t="n"/>
      <x:c r="B90" s="14" t="n"/>
      <x:c r="C90" s="14" t="n"/>
      <x:c r="D90" s="14" t="n"/>
      <x:c r="E90" s="14" t="n"/>
      <x:c r="F90" s="14" t="n"/>
      <x:c r="G90" s="14" t="n"/>
      <x:c r="H90" s="14" t="n"/>
      <x:c r="I90" s="14" t="n"/>
      <x:c r="J90" s="14" t="n"/>
      <x:c r="K90" s="15" t="n"/>
    </x:row>
    <x:row r="91">
      <x:c r="A91" s="13" t="n"/>
      <x:c r="B91" s="14" t="n"/>
      <x:c r="C91" s="14" t="n"/>
      <x:c r="D91" s="14" t="n"/>
      <x:c r="E91" s="14" t="n"/>
      <x:c r="F91" s="14" t="n"/>
      <x:c r="G91" s="14" t="n"/>
      <x:c r="H91" s="14" t="n"/>
      <x:c r="I91" s="14" t="n"/>
      <x:c r="J91" s="14" t="n"/>
      <x:c r="K91" s="15" t="n"/>
    </x:row>
    <x:row r="92">
      <x:c r="A92" s="13" t="n"/>
      <x:c r="B92" s="14" t="n"/>
      <x:c r="C92" s="14" t="n"/>
      <x:c r="D92" s="14" t="n"/>
      <x:c r="E92" s="14" t="n"/>
      <x:c r="F92" s="14" t="n"/>
      <x:c r="G92" s="14" t="n"/>
      <x:c r="H92" s="14" t="n"/>
      <x:c r="I92" s="14" t="n"/>
      <x:c r="J92" s="14" t="n"/>
      <x:c r="K92" s="15" t="n"/>
    </x:row>
    <x:row r="93">
      <x:c r="A93" s="13" t="n"/>
      <x:c r="B93" s="14" t="n"/>
      <x:c r="C93" s="14" t="n"/>
      <x:c r="D93" s="14" t="n"/>
      <x:c r="E93" s="14" t="n"/>
      <x:c r="F93" s="14" t="n"/>
      <x:c r="G93" s="14" t="n"/>
      <x:c r="H93" s="14" t="n"/>
      <x:c r="I93" s="14" t="n"/>
      <x:c r="J93" s="14" t="n"/>
      <x:c r="K93" s="15" t="n"/>
    </x:row>
    <x:row r="94">
      <x:c r="A94" s="13" t="n"/>
      <x:c r="B94" s="14" t="n"/>
      <x:c r="C94" s="14" t="n"/>
      <x:c r="D94" s="14" t="n"/>
      <x:c r="E94" s="14" t="n"/>
      <x:c r="F94" s="14" t="n"/>
      <x:c r="G94" s="14" t="n"/>
      <x:c r="H94" s="14" t="n"/>
      <x:c r="I94" s="14" t="n"/>
      <x:c r="J94" s="14" t="n"/>
      <x:c r="K94" s="15" t="n"/>
    </x:row>
    <x:row r="95">
      <x:c r="A95" s="16" t="n"/>
      <x:c r="B95" s="17" t="n"/>
      <x:c r="C95" s="17" t="n"/>
      <x:c r="D95" s="17" t="n"/>
      <x:c r="E95" s="17" t="n"/>
      <x:c r="F95" s="17" t="n"/>
      <x:c r="G95" s="17" t="n"/>
      <x:c r="H95" s="17" t="n"/>
      <x:c r="I95" s="17" t="n"/>
      <x:c r="J95" s="17" t="n"/>
      <x:c r="K95" s="18" t="n"/>
    </x:row>
  </x:sheetData>
  <x:mergeCells>
    <x:mergeCell ref="A41:F41"/>
    <x:mergeCell ref="A42:F4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8" customWidth="1"/>
    <x:col min="3" max="3" width="16" customWidth="1"/>
    <x:col min="4" max="4" width="18" customWidth="1"/>
    <x:col min="5" max="5" width="16" customWidth="1"/>
    <x:col min="6" max="6" width="18" customWidth="1"/>
    <x:col min="7" max="7" width="16" customWidth="1"/>
    <x:col min="8" max="8" width="18" customWidth="1"/>
    <x:col min="9" max="9" width="16" customWidth="1"/>
    <x:col min="10" max="10" width="42" customWidth="1"/>
  </x:cols>
  <x:sheetData>
    <x:row r="1" ht="26" customHeight="1">
      <x:c r="A1" s="200" t="inlineStr">
        <x:is>
          <x:t xml:space="preserve">03b Coste empresa / Seguridad Social</x:t>
        </x:is>
      </x:c>
    </x:row>
    <x:row r="2" ht="34" customHeight="1">
      <x:c r="A2" s="201" t="inlineStr">
        <x:is>
          <x:t xml:space="preserve">Desglose de OPEX personal existente. No añade coste nuevo: separa salario bruto estimado y coste empresa/Seguridad Social para reconciliar con la cuenta de resultados.</x:t>
        </x:is>
      </x:c>
    </x:row>
    <x:row r="5">
      <x:c r="A5" s="191" t="inlineStr">
        <x:is>
          <x:t xml:space="preserve">Concepto</x:t>
        </x:is>
      </x:c>
      <x:c r="B5" s="191" t="inlineStr">
        <x:is>
          <x:t xml:space="preserve">2026/27</x:t>
        </x:is>
      </x:c>
      <x:c r="C5" s="191" t="inlineStr">
        <x:is>
          <x:t xml:space="preserve">2028</x:t>
        </x:is>
      </x:c>
      <x:c r="D5" s="191" t="inlineStr">
        <x:is>
          <x:t xml:space="preserve">2029</x:t>
        </x:is>
      </x:c>
      <x:c r="E5" s="191" t="inlineStr">
        <x:is>
          <x:t xml:space="preserve">2030</x:t>
        </x:is>
      </x:c>
      <x:c r="F5" s="191" t="inlineStr">
        <x:is>
          <x:t xml:space="preserve">Notas</x:t>
        </x:is>
      </x:c>
    </x:row>
    <x:row r="6">
      <x:c r="A6" s="192" t="inlineStr">
        <x:is>
          <x:t xml:space="preserve">OPEX personal / coste empresa total</x:t>
        </x:is>
      </x:c>
      <x:c r="B6" s="202" t="n">
        <x:f>'05_Detalle_OPEX'!B6</x:f>
        <x:v>2.4195</x:v>
      </x:c>
      <x:c r="C6" s="202" t="n">
        <x:f>'05_Detalle_OPEX'!C6</x:f>
        <x:v>6.057430000000001</x:v>
      </x:c>
      <x:c r="D6" s="202" t="n">
        <x:f>'05_Detalle_OPEX'!D6</x:f>
        <x:v>10.8593724</x:v>
      </x:c>
      <x:c r="E6" s="202" t="n">
        <x:f>'05_Detalle_OPEX'!E6</x:f>
        <x:v>17.525155625999997</x:v>
      </x:c>
      <x:c r="F6" s="203" t="inlineStr">
        <x:is>
          <x:t xml:space="preserve">Linea ya incluida en 05_Detalle_OPEX y 06_Cuenta_Resultados.</x:t>
        </x:is>
      </x:c>
    </x:row>
    <x:row r="7">
      <x:c r="A7" s="204" t="inlineStr">
        <x:is>
          <x:t xml:space="preserve">Salario bruto estimado</x:t>
        </x:is>
      </x:c>
      <x:c r="B7" s="202" t="n">
        <x:f>B6/(1+'01_Supuestos'!B$68)</x:f>
        <x:v>1.8469465648854964</x:v>
      </x:c>
      <x:c r="C7" s="202" t="n">
        <x:f>C6/(1+'01_Supuestos'!C$68)</x:f>
        <x:v>4.623992366412215</x:v>
      </x:c>
      <x:c r="D7" s="202" t="n">
        <x:f>D6/(1+'01_Supuestos'!D$68)</x:f>
        <x:v>8.289597251908397</x:v>
      </x:c>
      <x:c r="E7" s="202" t="n">
        <x:f>E6/(1+'01_Supuestos'!E$68)</x:f>
        <x:v>13.377981393893126</x:v>
      </x:c>
      <x:c r="F7" s="203" t="inlineStr">
        <x:is>
          <x:t xml:space="preserve">Lectura estimada para separar coste empresa, no nuevo gasto.</x:t>
        </x:is>
      </x:c>
    </x:row>
    <x:row r="8">
      <x:c r="A8" s="204" t="inlineStr">
        <x:is>
          <x:t xml:space="preserve">Seguridad Social / coste empresa</x:t>
        </x:is>
      </x:c>
      <x:c r="B8" s="202" t="n">
        <x:f>B6-B7</x:f>
        <x:v>0.5725534351145039</x:v>
      </x:c>
      <x:c r="C8" s="202" t="n">
        <x:f>C6-C7</x:f>
        <x:v>1.4334376335877863</x:v>
      </x:c>
      <x:c r="D8" s="202" t="n">
        <x:f>D6-D7</x:f>
        <x:v>2.569775148091603</x:v>
      </x:c>
      <x:c r="E8" s="202" t="n">
        <x:f>E6-E7</x:f>
        <x:v>4.14717423210687</x:v>
      </x:c>
      <x:c r="F8" s="203" t="inlineStr">
        <x:is>
          <x:t xml:space="preserve">Diferencia entre coste empresa total y salario bruto estimado.</x:t>
        </x:is>
      </x:c>
    </x:row>
    <x:row r="9">
      <x:c r="A9" s="204" t="inlineStr">
        <x:is>
          <x:t xml:space="preserve">% coste empresa sobre salario bruto</x:t>
        </x:is>
      </x:c>
      <x:c r="B9" s="205" t="n">
        <x:f>B8/B7</x:f>
        <x:v>0.31</x:v>
      </x:c>
      <x:c r="C9" s="205" t="n">
        <x:f>C8/C7</x:f>
        <x:v>0.30999999999999994</x:v>
      </x:c>
      <x:c r="D9" s="205" t="n">
        <x:f>D8/D7</x:f>
        <x:v>0.31</x:v>
      </x:c>
      <x:c r="E9" s="205" t="n">
        <x:f>E8/E7</x:f>
        <x:v>0.3100000000000001</x:v>
      </x:c>
      <x:c r="F9" s="203" t="inlineStr">
        <x:is>
          <x:t xml:space="preserve">Debe coincidir con la tasa de 01_Supuestos.</x:t>
        </x:is>
      </x:c>
    </x:row>
    <x:row r="10">
      <x:c r="A10" s="206" t="inlineStr">
        <x:is>
          <x:t xml:space="preserve">Control conciliación</x:t>
        </x:is>
      </x:c>
      <x:c r="B10" s="207" t="n">
        <x:f>B7+B8-B6</x:f>
        <x:v>0</x:v>
      </x:c>
      <x:c r="C10" s="207" t="n">
        <x:f>C7+C8-C6</x:f>
        <x:v>0</x:v>
      </x:c>
      <x:c r="D10" s="207" t="n">
        <x:f>D7+D8-D6</x:f>
        <x:v>0</x:v>
      </x:c>
      <x:c r="E10" s="207" t="n">
        <x:f>E7+E8-E6</x:f>
        <x:v>0</x:v>
      </x:c>
      <x:c r="F10" s="206" t="inlineStr">
        <x:is>
          <x:t xml:space="preserve">Debe ser cero: salario bruto + SS = OPEX personal.</x:t>
        </x:is>
      </x:c>
    </x:row>
    <x:row r="13">
      <x:c r="A13" s="208" t="inlineStr">
        <x:is>
          <x:t xml:space="preserve">Desglose por departamento</x:t>
        </x:is>
      </x:c>
    </x:row>
    <x:row r="14">
      <x:c r="A14" s="191" t="inlineStr">
        <x:is>
          <x:t xml:space="preserve">Departamento</x:t>
        </x:is>
      </x:c>
      <x:c r="B14" s="191" t="inlineStr">
        <x:is>
          <x:t xml:space="preserve">Coste empresa 2026/27</x:t>
        </x:is>
      </x:c>
      <x:c r="C14" s="191" t="inlineStr">
        <x:is>
          <x:t xml:space="preserve">SS 2026/27</x:t>
        </x:is>
      </x:c>
      <x:c r="D14" s="191" t="inlineStr">
        <x:is>
          <x:t xml:space="preserve">Coste empresa 2028</x:t>
        </x:is>
      </x:c>
      <x:c r="E14" s="191" t="inlineStr">
        <x:is>
          <x:t xml:space="preserve">SS 2028</x:t>
        </x:is>
      </x:c>
      <x:c r="F14" s="191" t="inlineStr">
        <x:is>
          <x:t xml:space="preserve">Coste empresa 2029</x:t>
        </x:is>
      </x:c>
      <x:c r="G14" s="191" t="inlineStr">
        <x:is>
          <x:t xml:space="preserve">SS 2029</x:t>
        </x:is>
      </x:c>
      <x:c r="H14" s="191" t="inlineStr">
        <x:is>
          <x:t xml:space="preserve">Coste empresa 2030</x:t>
        </x:is>
      </x:c>
      <x:c r="I14" s="191" t="inlineStr">
        <x:is>
          <x:t xml:space="preserve">SS 2030</x:t>
        </x:is>
      </x:c>
      <x:c r="J14" s="191" t="inlineStr">
        <x:is>
          <x:t xml:space="preserve">Notas</x:t>
        </x:is>
      </x:c>
    </x:row>
    <x:row r="15">
      <x:c r="A15" s="203" t="inlineStr">
        <x:is>
          <x:t xml:space="preserve">Direccion</x:t>
        </x:is>
      </x:c>
      <x:c r="B15" s="202" t="n">
        <x:f>SUMIF('03_Detalle_Personal'!$A$6:$A$37,$A15,'03_Detalle_Personal'!H$6:H$37)</x:f>
        <x:v>0.4125</x:v>
      </x:c>
      <x:c r="C15" s="202" t="n">
        <x:f>B15-B15/(1+'01_Supuestos'!B$68)</x:f>
        <x:v>0.09761450381679387</x:v>
      </x:c>
      <x:c r="D15" s="202" t="n">
        <x:f>SUMIF('03_Detalle_Personal'!$A$6:$A$37,$A15,'03_Detalle_Personal'!I$6:I$37)</x:f>
        <x:v>0.52015</x:v>
      </x:c>
      <x:c r="E15" s="202" t="n">
        <x:f>D15-D15/(1+'01_Supuestos'!C$68)</x:f>
        <x:v>0.12308893129770992</x:v>
      </x:c>
      <x:c r="F15" s="202" t="n">
        <x:f>SUMIF('03_Detalle_Personal'!$A$6:$A$37,$A15,'03_Detalle_Personal'!J$6:J$37)</x:f>
        <x:v>0.5357545</x:v>
      </x:c>
      <x:c r="G15" s="202" t="n">
        <x:f>F15-F15/(1+'01_Supuestos'!D$68)</x:f>
        <x:v>0.12678159923664123</x:v>
      </x:c>
      <x:c r="H15" s="202" t="n">
        <x:f>SUMIF('03_Detalle_Personal'!$A$6:$A$37,$A15,'03_Detalle_Personal'!K$6:K$37)</x:f>
        <x:v>0.5518271350000001</x:v>
      </x:c>
      <x:c r="I15" s="202" t="n">
        <x:f>H15-H15/(1+'01_Supuestos'!E$68)</x:f>
        <x:v>0.13058504721374048</x:v>
      </x:c>
      <x:c r="J15" s="203" t="inlineStr">
        <x:is>
          <x:t xml:space="preserve">Incluido en OPEX personal.</x:t>
        </x:is>
      </x:c>
    </x:row>
    <x:row r="16">
      <x:c r="A16" s="203" t="inlineStr">
        <x:is>
          <x:t xml:space="preserve">Producto</x:t>
        </x:is>
      </x:c>
      <x:c r="B16" s="202" t="n">
        <x:f>SUMIF('03_Detalle_Personal'!$A$6:$A$37,$A16,'03_Detalle_Personal'!H$6:H$37)</x:f>
        <x:v>0.9040000000000001</x:v>
      </x:c>
      <x:c r="C16" s="202" t="n">
        <x:f>B16-B16/(1+'01_Supuestos'!B$68)</x:f>
        <x:v>0.21392366412213748</x:v>
      </x:c>
      <x:c r="D16" s="202" t="n">
        <x:f>SUMIF('03_Detalle_Personal'!$A$6:$A$37,$A16,'03_Detalle_Personal'!I$6:I$37)</x:f>
        <x:v>2.44831</x:v>
      </x:c>
      <x:c r="E16" s="202" t="n">
        <x:f>D16-D16/(1+'01_Supuestos'!C$68)</x:f>
        <x:v>0.5793710687022902</x:v>
      </x:c>
      <x:c r="F16" s="202" t="n">
        <x:f>SUMIF('03_Detalle_Personal'!$A$6:$A$37,$A16,'03_Detalle_Personal'!J$6:J$37)</x:f>
        <x:v>4.3762125</x:v>
      </x:c>
      <x:c r="G16" s="202" t="n">
        <x:f>F16-F16/(1+'01_Supuestos'!D$68)</x:f>
        <x:v>1.0355922709923666</x:v>
      </x:c>
      <x:c r="H16" s="202" t="n">
        <x:f>SUMIF('03_Detalle_Personal'!$A$6:$A$37,$A16,'03_Detalle_Personal'!K$6:K$37)</x:f>
        <x:v>7.099447319000001</x:v>
      </x:c>
      <x:c r="I16" s="202" t="n">
        <x:f>H16-H16/(1+'01_Supuestos'!E$68)</x:f>
        <x:v>1.6800218846488555</x:v>
      </x:c>
      <x:c r="J16" s="203" t="inlineStr">
        <x:is>
          <x:t xml:space="preserve">Incluido en OPEX personal.</x:t>
        </x:is>
      </x:c>
    </x:row>
    <x:row r="17">
      <x:c r="A17" s="203" t="inlineStr">
        <x:is>
          <x:t xml:space="preserve">Operaciones</x:t>
        </x:is>
      </x:c>
      <x:c r="B17" s="202" t="n">
        <x:f>SUMIF('03_Detalle_Personal'!$A$6:$A$37,$A17,'03_Detalle_Personal'!H$6:H$37)</x:f>
        <x:v>0.754</x:v>
      </x:c>
      <x:c r="C17" s="202" t="n">
        <x:f>B17-B17/(1+'01_Supuestos'!B$68)</x:f>
        <x:v>0.17842748091603056</x:v>
      </x:c>
      <x:c r="D17" s="202" t="n">
        <x:f>SUMIF('03_Detalle_Personal'!$A$6:$A$37,$A17,'03_Detalle_Personal'!I$6:I$37)</x:f>
        <x:v>2.17124</x:v>
      </x:c>
      <x:c r="E17" s="202" t="n">
        <x:f>D17-D17/(1+'01_Supuestos'!C$68)</x:f>
        <x:v>0.5138048854961832</x:v>
      </x:c>
      <x:c r="F17" s="202" t="n">
        <x:f>SUMIF('03_Detalle_Personal'!$A$6:$A$37,$A17,'03_Detalle_Personal'!J$6:J$37)</x:f>
        <x:v>4.131144599999999</x:v>
      </x:c>
      <x:c r="G17" s="202" t="n">
        <x:f>F17-F17/(1+'01_Supuestos'!D$68)</x:f>
        <x:v>0.9775991038167939</x:v>
      </x:c>
      <x:c r="H17" s="202" t="n">
        <x:f>SUMIF('03_Detalle_Personal'!$A$6:$A$37,$A17,'03_Detalle_Personal'!K$6:K$37)</x:f>
        <x:v>6.947558266</x:v>
      </x:c>
      <x:c r="I17" s="202" t="n">
        <x:f>H17-H17/(1+'01_Supuestos'!E$68)</x:f>
        <x:v>1.6440786736335875</x:v>
      </x:c>
      <x:c r="J17" s="203" t="inlineStr">
        <x:is>
          <x:t xml:space="preserve">Incluido en OPEX personal.</x:t>
        </x:is>
      </x:c>
    </x:row>
    <x:row r="18">
      <x:c r="A18" s="203" t="inlineStr">
        <x:is>
          <x:t xml:space="preserve">GTM</x:t>
        </x:is>
      </x:c>
      <x:c r="B18" s="202" t="n">
        <x:f>SUMIF('03_Detalle_Personal'!$A$6:$A$37,$A18,'03_Detalle_Personal'!H$6:H$37)</x:f>
        <x:v>0.245</x:v>
      </x:c>
      <x:c r="C18" s="202" t="n">
        <x:f>B18-B18/(1+'01_Supuestos'!B$68)</x:f>
        <x:v>0.05797709923664124</x:v>
      </x:c>
      <x:c r="D18" s="202" t="n">
        <x:f>SUMIF('03_Detalle_Personal'!$A$6:$A$37,$A18,'03_Detalle_Personal'!I$6:I$37)</x:f>
        <x:v>0.6468400000000001</x:v>
      </x:c>
      <x:c r="E18" s="202" t="n">
        <x:f>D18-D18/(1+'01_Supuestos'!C$68)</x:f>
        <x:v>0.15306900763358783</x:v>
      </x:c>
      <x:c r="F18" s="202" t="n">
        <x:f>SUMIF('03_Detalle_Personal'!$A$6:$A$37,$A18,'03_Detalle_Personal'!J$6:J$37)</x:f>
        <x:v>1.2582273999999998</x:v>
      </x:c>
      <x:c r="G18" s="202" t="n">
        <x:f>F18-F18/(1+'01_Supuestos'!D$68)</x:f>
        <x:v>0.2977484687022901</x:v>
      </x:c>
      <x:c r="H18" s="202" t="n">
        <x:f>SUMIF('03_Detalle_Personal'!$A$6:$A$37,$A18,'03_Detalle_Personal'!K$6:K$37)</x:f>
        <x:v>2.056512214</x:v>
      </x:c>
      <x:c r="I18" s="202" t="n">
        <x:f>H18-H18/(1+'01_Supuestos'!E$68)</x:f>
        <x:v>0.4866555620916031</x:v>
      </x:c>
      <x:c r="J18" s="203" t="inlineStr">
        <x:is>
          <x:t xml:space="preserve">Incluido en OPEX personal.</x:t>
        </x:is>
      </x:c>
    </x:row>
    <x:row r="19">
      <x:c r="A19" s="203" t="inlineStr">
        <x:is>
          <x:t xml:space="preserve">G&amp;A</x:t>
        </x:is>
      </x:c>
      <x:c r="B19" s="202" t="n">
        <x:f>SUMIF('03_Detalle_Personal'!$A$6:$A$37,$A19,'03_Detalle_Personal'!H$6:H$37)</x:f>
        <x:v>0.10400000000000001</x:v>
      </x:c>
      <x:c r="C19" s="202" t="n">
        <x:f>B19-B19/(1+'01_Supuestos'!B$68)</x:f>
        <x:v>0.02461068702290077</x:v>
      </x:c>
      <x:c r="D19" s="202" t="n">
        <x:f>SUMIF('03_Detalle_Personal'!$A$6:$A$37,$A19,'03_Detalle_Personal'!I$6:I$37)</x:f>
        <x:v>0.27089</x:v>
      </x:c>
      <x:c r="E19" s="202" t="n">
        <x:f>D19-D19/(1+'01_Supuestos'!C$68)</x:f>
        <x:v>0.06410374045801528</x:v>
      </x:c>
      <x:c r="F19" s="202" t="n">
        <x:f>SUMIF('03_Detalle_Personal'!$A$6:$A$37,$A19,'03_Detalle_Personal'!J$6:J$37)</x:f>
        <x:v>0.5580333999999999</x:v>
      </x:c>
      <x:c r="G19" s="202" t="n">
        <x:f>F19-F19/(1+'01_Supuestos'!D$68)</x:f>
        <x:v>0.13205370534351146</x:v>
      </x:c>
      <x:c r="H19" s="202" t="n">
        <x:f>SUMIF('03_Detalle_Personal'!$A$6:$A$37,$A19,'03_Detalle_Personal'!K$6:K$37)</x:f>
        <x:v>0.8698106919999999</x:v>
      </x:c>
      <x:c r="I19" s="202" t="n">
        <x:f>H19-H19/(1+'01_Supuestos'!E$68)</x:f>
        <x:v>0.205833064519084</x:v>
      </x:c>
      <x:c r="J19" s="203" t="inlineStr">
        <x:is>
          <x:t xml:space="preserve">Incluido en OPEX personal.</x:t>
        </x:is>
      </x:c>
    </x:row>
    <x:row r="20">
      <x:c r="A20" s="206" t="inlineStr">
        <x:is>
          <x:t xml:space="preserve">TOTAL DEPARTAMENTOS</x:t>
        </x:is>
      </x:c>
      <x:c r="B20" s="207" t="n">
        <x:f>SUM(B15:B19)</x:f>
        <x:v>2.4195</x:v>
      </x:c>
      <x:c r="C20" s="207" t="n">
        <x:f>SUM(C15:C19)</x:f>
        <x:v>0.572553435114504</x:v>
      </x:c>
      <x:c r="D20" s="207" t="n">
        <x:f>SUM(D15:D19)</x:f>
        <x:v>6.05743</x:v>
      </x:c>
      <x:c r="E20" s="207" t="n">
        <x:f>SUM(E15:E19)</x:f>
        <x:v>1.4334376335877865</x:v>
      </x:c>
      <x:c r="F20" s="207" t="n">
        <x:f>SUM(F15:F19)</x:f>
        <x:v>10.859372399999998</x:v>
      </x:c>
      <x:c r="G20" s="207" t="n">
        <x:f>SUM(G15:G19)</x:f>
        <x:v>2.5697751480916033</x:v>
      </x:c>
      <x:c r="H20" s="207" t="n">
        <x:f>SUM(H15:H19)</x:f>
        <x:v>17.525155626000004</x:v>
      </x:c>
      <x:c r="I20" s="207" t="n">
        <x:f>SUM(I15:I19)</x:f>
        <x:v>4.14717423210687</x:v>
      </x:c>
      <x:c r="J20" s="206" t="inlineStr">
        <x:is>
          <x:t xml:space="preserve">Control contra resumen superior.</x:t>
        </x:is>
      </x:c>
    </x:row>
    <x:row r="23">
      <x:c r="A23" s="208" t="inlineStr">
        <x:is>
          <x:t xml:space="preserve">Controles</x:t>
        </x:is>
      </x:c>
    </x:row>
    <x:row r="24">
      <x:c r="A24" s="191" t="inlineStr">
        <x:is>
          <x:t xml:space="preserve">Control</x:t>
        </x:is>
      </x:c>
      <x:c r="B24" s="191" t="inlineStr">
        <x:is>
          <x:t xml:space="preserve">2026/27</x:t>
        </x:is>
      </x:c>
      <x:c r="C24" s="191" t="inlineStr">
        <x:is>
          <x:t xml:space="preserve">2028</x:t>
        </x:is>
      </x:c>
      <x:c r="D24" s="191" t="inlineStr">
        <x:is>
          <x:t xml:space="preserve">2029</x:t>
        </x:is>
      </x:c>
      <x:c r="E24" s="191" t="inlineStr">
        <x:is>
          <x:t xml:space="preserve">2030</x:t>
        </x:is>
      </x:c>
      <x:c r="F24" s="191" t="inlineStr">
        <x:is>
          <x:t xml:space="preserve">Estado</x:t>
        </x:is>
      </x:c>
    </x:row>
    <x:row r="25">
      <x:c r="A25" s="206" t="inlineStr">
        <x:is>
          <x:t xml:space="preserve">Coste empresa deptos vs OPEX personal</x:t>
        </x:is>
      </x:c>
      <x:c r="B25" s="207" t="n">
        <x:f>B20-B6</x:f>
        <x:v>0</x:v>
      </x:c>
      <x:c r="C25" s="207" t="n">
        <x:f>D20-C6</x:f>
        <x:v>-8.881784197001252e-16</x:v>
      </x:c>
      <x:c r="D25" s="207" t="n">
        <x:f>F20-D6</x:f>
        <x:v>-1.7763568394002505e-15</x:v>
      </x:c>
      <x:c r="E25" s="207" t="n">
        <x:f>H20-E6</x:f>
        <x:v>7.105427357601002e-15</x:v>
      </x:c>
      <x:c r="F25" s="206" t="str">
        <x:f>IF(SUM(ABS(B25),ABS(C25),ABS(D25),ABS(E25))&lt;0.001,"OK","FALLO")</x:f>
        <x:v>OK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43" customWidth="1"/>
    <x:col min="3" max="3" width="13" customWidth="1"/>
    <x:col min="4" max="4" width="13" customWidth="1"/>
    <x:col min="5" max="5" width="13" customWidth="1"/>
    <x:col min="6" max="6" width="13" customWidth="1"/>
    <x:col min="7" max="7" width="24" customWidth="1"/>
    <x:col min="8" max="8" width="68" customWidth="1"/>
  </x:cols>
  <x:sheetData>
    <x:row r="1">
      <x:c r="A1" s="107" t="inlineStr">
        <x:is>
          <x:t xml:space="preserve">04 OPEX operativo</x:t>
        </x:is>
      </x:c>
      <x:c r="B1" s="108" t="str"/>
      <x:c r="C1" s="108" t="str"/>
      <x:c r="D1" s="108" t="str"/>
      <x:c r="E1" s="108" t="str"/>
      <x:c r="F1" s="109" t="str"/>
      <x:c r="G1" s="109" t="str"/>
      <x:c r="H1" s="110" t="str"/>
    </x:row>
    <x:row r="2">
      <x:c r="A2" s="111" t="inlineStr">
        <x:is>
          <x:t xml:space="preserve">Detalle no-personal por concepto y driver. EUR M.</x:t>
        </x:is>
      </x:c>
      <x:c r="B2" s="112" t="str"/>
      <x:c r="C2" s="112" t="str"/>
      <x:c r="D2" s="112" t="str"/>
      <x:c r="E2" s="112" t="str"/>
      <x:c r="F2" s="112" t="str"/>
      <x:c r="G2" s="112" t="str"/>
      <x:c r="H2" s="113" t="str"/>
    </x:row>
    <x:row r="3">
      <x:c r="A3" s="13" t="str"/>
      <x:c r="B3" s="14" t="str"/>
      <x:c r="C3" s="14" t="str"/>
      <x:c r="D3" s="14" t="str"/>
      <x:c r="E3" s="14" t="str"/>
      <x:c r="F3" s="14" t="str"/>
      <x:c r="G3" s="14" t="str"/>
      <x:c r="H3" s="15" t="str"/>
    </x:row>
    <x:row r="4">
      <x:c r="A4" s="13" t="n"/>
      <x:c r="B4" s="14" t="n"/>
      <x:c r="C4" s="14" t="n"/>
      <x:c r="D4" s="14" t="n"/>
      <x:c r="E4" s="14" t="n"/>
      <x:c r="F4" s="14" t="n"/>
      <x:c r="G4" s="14" t="n"/>
      <x:c r="H4" s="15" t="n"/>
    </x:row>
    <x:row r="5">
      <x:c r="A5" s="174" t="inlineStr">
        <x:is>
          <x:t xml:space="preserve">Área</x:t>
        </x:is>
      </x:c>
      <x:c r="B5" s="174" t="inlineStr">
        <x:is>
          <x:t xml:space="preserve">Concepto</x:t>
        </x:is>
      </x:c>
      <x:c r="C5" s="174" t="inlineStr">
        <x:is>
          <x:t xml:space="preserve">2026/27</x:t>
        </x:is>
      </x:c>
      <x:c r="D5" s="174" t="inlineStr">
        <x:is>
          <x:t xml:space="preserve">2028</x:t>
        </x:is>
      </x:c>
      <x:c r="E5" s="174" t="inlineStr">
        <x:is>
          <x:t xml:space="preserve">2029</x:t>
        </x:is>
      </x:c>
      <x:c r="F5" s="174" t="inlineStr">
        <x:is>
          <x:t xml:space="preserve">2030</x:t>
        </x:is>
      </x:c>
      <x:c r="G5" s="174" t="inlineStr">
        <x:is>
          <x:t xml:space="preserve">Driver</x:t>
        </x:is>
      </x:c>
      <x:c r="H5" s="174" t="inlineStr">
        <x:is>
          <x:t xml:space="preserve">Notas</x:t>
        </x:is>
      </x:c>
    </x:row>
    <x:row r="6">
      <x:c r="A6" s="175" t="inlineStr">
        <x:is>
          <x:t xml:space="preserve">Producto y Tecnologia</x:t>
        </x:is>
      </x:c>
      <x:c r="B6" s="175" t="inlineStr">
        <x:is>
          <x:t xml:space="preserve">Infraestructura cloud, datos y procesamiento</x:t>
        </x:is>
      </x:c>
      <x:c r="C6" s="176" t="n">
        <x:f>0.10+'01_Supuestos'!B9*0.14/1000000+'02_Detalle_Ingresos'!B42*0.002</x:f>
        <x:v>0.16113405600000003</x:v>
      </x:c>
      <x:c r="D6" s="176" t="n">
        <x:f>0.10+'01_Supuestos'!C9*0.14/1000000+'02_Detalle_Ingresos'!C42*0.002</x:f>
        <x:v>0.3921822794666667</x:v>
      </x:c>
      <x:c r="E6" s="176" t="n">
        <x:f>0.10+'01_Supuestos'!D9*0.14/1000000+'02_Detalle_Ingresos'!D42*0.002</x:f>
        <x:v>0.7754311444666667</x:v>
      </x:c>
      <x:c r="F6" s="176" t="n">
        <x:f>0.10+'01_Supuestos'!E9*0.14/1000000+'02_Detalle_Ingresos'!E42*0.002</x:f>
        <x:v>1.3955964800666667</x:v>
      </x:c>
      <x:c r="G6" s="175" t="inlineStr">
        <x:is>
          <x:t xml:space="preserve">Stock vivo + ingresos</x:t>
        </x:is>
      </x:c>
      <x:c r="H6" s="175" t="inlineStr">
        <x:is>
          <x:t xml:space="preserve">Infraestructura core, bases de datos, almacenamiento y procesamiento.</x:t>
        </x:is>
      </x:c>
    </x:row>
    <x:row r="7">
      <x:c r="A7" s="175" t="inlineStr">
        <x:is>
          <x:t xml:space="preserve">Producto y Tecnologia</x:t>
        </x:is>
      </x:c>
      <x:c r="B7" s="175" t="inlineStr">
        <x:is>
          <x:t xml:space="preserve">Seguridad, logs y continuidad</x:t>
        </x:is>
      </x:c>
      <x:c r="C7" s="176" t="n">
        <x:f>0.04+'03_Detalle_Personal'!D38*1800/1000000</x:f>
        <x:v>0.1048</x:v>
      </x:c>
      <x:c r="D7" s="176" t="n">
        <x:f>0.04+'03_Detalle_Personal'!E38*1800/1000000</x:f>
        <x:v>0.2038</x:v>
      </x:c>
      <x:c r="E7" s="176" t="n">
        <x:f>0.04+'03_Detalle_Personal'!F38*1800/1000000</x:f>
        <x:v>0.3316</x:v>
      </x:c>
      <x:c r="F7" s="176" t="n">
        <x:f>0.04+'03_Detalle_Personal'!G38*1800/1000000</x:f>
        <x:v>0.5008</x:v>
      </x:c>
      <x:c r="G7" s="175" t="inlineStr">
        <x:is>
          <x:t xml:space="preserve">FTE + base</x:t>
        </x:is>
      </x:c>
      <x:c r="H7" s="175" t="inlineStr">
        <x:is>
          <x:t xml:space="preserve">Seguridad, logs, copias, hardening, monitorizacion y continuidad.</x:t>
        </x:is>
      </x:c>
    </x:row>
    <x:row r="8">
      <x:c r="A8" s="175" t="inlineStr">
        <x:is>
          <x:t xml:space="preserve">Producto y Tecnologia</x:t>
        </x:is>
      </x:c>
      <x:c r="B8" s="175" t="inlineStr">
        <x:is>
          <x:t xml:space="preserve">Herramientas desarrollo / diseño / gestión</x:t>
        </x:is>
      </x:c>
      <x:c r="C8" s="176" t="n">
        <x:f>0.05+'03_Detalle_Personal'!D38*6500/1000000</x:f>
        <x:v>0.28400000000000003</x:v>
      </x:c>
      <x:c r="D8" s="176" t="n">
        <x:f>0.05+'03_Detalle_Personal'!E38*6500/1000000</x:f>
        <x:v>0.6415000000000001</x:v>
      </x:c>
      <x:c r="E8" s="176" t="n">
        <x:f>0.05+'03_Detalle_Personal'!F38*6500/1000000</x:f>
        <x:v>1.103</x:v>
      </x:c>
      <x:c r="F8" s="176" t="n">
        <x:f>0.05+'03_Detalle_Personal'!G38*6500/1000000</x:f>
        <x:v>1.714</x:v>
      </x:c>
      <x:c r="G8" s="175" t="inlineStr">
        <x:is>
          <x:t xml:space="preserve">FTE</x:t>
        </x:is>
      </x:c>
      <x:c r="H8" s="175" t="inlineStr">
        <x:is>
          <x:t xml:space="preserve">Herramientas de desarrollo, diseño, gestion, test y soporte.</x:t>
        </x:is>
      </x:c>
    </x:row>
    <x:row r="9">
      <x:c r="A9" s="175" t="inlineStr">
        <x:is>
          <x:t xml:space="preserve">Producto y Tecnologia</x:t>
        </x:is>
      </x:c>
      <x:c r="B9" s="175" t="inlineStr">
        <x:is>
          <x:t xml:space="preserve">IA/API y automatizaciones</x:t>
        </x:is>
      </x:c>
      <x:c r="C9" s="176" t="n">
        <x:f>0.03+'02_Detalle_Ingresos'!B42*0.004</x:f>
        <x:v>0.06826811199999999</x:v>
      </x:c>
      <x:c r="D9" s="176" t="n">
        <x:f>0.03+'02_Detalle_Ingresos'!C42*0.004</x:f>
        <x:v>0.20547122559999997</x:v>
      </x:c>
      <x:c r="E9" s="176" t="n">
        <x:f>0.03+'02_Detalle_Ingresos'!D42*0.004</x:f>
        <x:v>0.40767562226666665</x:v>
      </x:c>
      <x:c r="F9" s="176" t="n">
        <x:f>0.03+'02_Detalle_Ingresos'!E42*0.004</x:f>
        <x:v>0.7981129601333333</x:v>
      </x:c>
      <x:c r="G9" s="175" t="inlineStr">
        <x:is>
          <x:t xml:space="preserve">Ingresos</x:t>
        </x:is>
      </x:c>
      <x:c r="H9" s="175" t="inlineStr">
        <x:is>
          <x:t xml:space="preserve">Uso de API, generacion de proyectos, validaciones y automatizaciones.</x:t>
        </x:is>
      </x:c>
    </x:row>
    <x:row r="10">
      <x:c r="A10" s="175" t="inlineStr">
        <x:is>
          <x:t xml:space="preserve">Producto y Tecnologia</x:t>
        </x:is>
      </x:c>
      <x:c r="B10" s="175" t="inlineStr">
        <x:is>
          <x:t xml:space="preserve">Entornos preproducción, hardware y bancos</x:t>
        </x:is>
      </x:c>
      <x:c r="C10" s="176" t="n">
        <x:v>0.08</x:v>
      </x:c>
      <x:c r="D10" s="176" t="n">
        <x:v>0.16</x:v>
      </x:c>
      <x:c r="E10" s="176" t="n">
        <x:v>0.25</x:v>
      </x:c>
      <x:c r="F10" s="176" t="n">
        <x:v>0.35</x:v>
      </x:c>
      <x:c r="G10" s="175" t="inlineStr">
        <x:is>
          <x:t xml:space="preserve">Input ramp</x:t>
        </x:is>
      </x:c>
      <x:c r="H10" s="175" t="inlineStr">
        <x:is>
          <x:t xml:space="preserve">Ambientes de preproduccion, hardware de pruebas y bancos de ensayo.</x:t>
        </x:is>
      </x:c>
    </x:row>
    <x:row r="11">
      <x:c r="A11" s="175" t="inlineStr">
        <x:is>
          <x:t xml:space="preserve">Producto y Tecnologia</x:t>
        </x:is>
      </x:c>
      <x:c r="B11" s="175" t="inlineStr">
        <x:is>
          <x:t xml:space="preserve">QA, regresión e integración</x:t>
        </x:is>
      </x:c>
      <x:c r="C11" s="176" t="n">
        <x:f>0.05+'01_Supuestos'!B8*0.05/1000000</x:f>
        <x:v>0.065</x:v>
      </x:c>
      <x:c r="D11" s="176" t="n">
        <x:f>0.05+'01_Supuestos'!C8*0.05/1000000</x:f>
        <x:v>0.10801666666666666</x:v>
      </x:c>
      <x:c r="E11" s="176" t="n">
        <x:f>0.05+'01_Supuestos'!D8*0.05/1000000</x:f>
        <x:v>0.15076666666666666</x:v>
      </x:c>
      <x:c r="F11" s="176" t="n">
        <x:f>0.05+'01_Supuestos'!E8*0.05/1000000</x:f>
        <x:v>0.2017666666666667</x:v>
      </x:c>
      <x:c r="G11" s="175" t="inlineStr">
        <x:is>
          <x:t xml:space="preserve">m2 emitidos</x:t>
        </x:is>
      </x:c>
      <x:c r="H11" s="175" t="inlineStr">
        <x:is>
          <x:t xml:space="preserve">Pruebas de regresion, integracion, fiabilidad y calidad de releases.</x:t>
        </x:is>
      </x:c>
    </x:row>
    <x:row r="12">
      <x:c r="A12" s="175" t="inlineStr">
        <x:is>
          <x:t xml:space="preserve">Producto y Tecnologia</x:t>
        </x:is>
      </x:c>
      <x:c r="B12" s="175" t="inlineStr">
        <x:is>
          <x:t xml:space="preserve">Data pipelines y escalabilidad</x:t>
        </x:is>
      </x:c>
      <x:c r="C12" s="176" t="n">
        <x:f>0.04+'01_Supuestos'!B9*0.04/1000000</x:f>
        <x:v>0.052000000000000005</x:v>
      </x:c>
      <x:c r="D12" s="176" t="n">
        <x:f>0.04+'01_Supuestos'!C9*0.04/1000000</x:f>
        <x:v>0.09841333333333332</x:v>
      </x:c>
      <x:c r="E12" s="176" t="n">
        <x:f>0.04+'01_Supuestos'!D9*0.04/1000000</x:f>
        <x:v>0.17902666666666667</x:v>
      </x:c>
      <x:c r="F12" s="176" t="n">
        <x:f>0.04+'01_Supuestos'!E9*0.04/1000000</x:f>
        <x:v>0.30044</x:v>
      </x:c>
      <x:c r="G12" s="175" t="inlineStr">
        <x:is>
          <x:t xml:space="preserve">Stock vivo</x:t>
        </x:is>
      </x:c>
      <x:c r="H12" s="175" t="inlineStr">
        <x:is>
          <x:t xml:space="preserve">Data pipelines, trazas, control de performance y escalabilidad.</x:t>
        </x:is>
      </x:c>
    </x:row>
    <x:row r="13">
      <x:c r="A13" s="175" t="inlineStr">
        <x:is>
          <x:t xml:space="preserve">Operaciones / Delivery</x:t>
        </x:is>
      </x:c>
      <x:c r="B13" s="175" t="inlineStr">
        <x:is>
          <x:t xml:space="preserve">Lectores, sensores y kits de validación</x:t>
        </x:is>
      </x:c>
      <x:c r="C13" s="176" t="n">
        <x:f>0.06+'01_Supuestos'!B8*0.12/1000000</x:f>
        <x:v>0.096</x:v>
      </x:c>
      <x:c r="D13" s="176" t="n">
        <x:f>0.06+'01_Supuestos'!C8*0.12/1000000</x:f>
        <x:v>0.19924</x:v>
      </x:c>
      <x:c r="E13" s="176" t="n">
        <x:f>0.06+'01_Supuestos'!D8*0.12/1000000</x:f>
        <x:v>0.30184</x:v>
      </x:c>
      <x:c r="F13" s="176" t="n">
        <x:f>0.06+'01_Supuestos'!E8*0.12/1000000</x:f>
        <x:v>0.42424</x:v>
      </x:c>
      <x:c r="G13" s="175" t="inlineStr">
        <x:is>
          <x:t xml:space="preserve">m2 emitidos</x:t>
        </x:is>
      </x:c>
      <x:c r="H13" s="175" t="inlineStr">
        <x:is>
          <x:t xml:space="preserve">Lectores, neuronas fijas/portatiles, sensores y kits de validacion.</x:t>
        </x:is>
      </x:c>
    </x:row>
    <x:row r="14">
      <x:c r="A14" s="175" t="inlineStr">
        <x:is>
          <x:t xml:space="preserve">Operaciones / Delivery</x:t>
        </x:is>
      </x:c>
      <x:c r="B14" s="175" t="inlineStr">
        <x:is>
          <x:t xml:space="preserve">Material implantación y reposición</x:t>
        </x:is>
      </x:c>
      <x:c r="C14" s="176" t="n">
        <x:f>0.04+'01_Supuestos'!B8*0.08/1000000</x:f>
        <x:v>0.064</x:v>
      </x:c>
      <x:c r="D14" s="176" t="n">
        <x:f>0.04+'01_Supuestos'!C8*0.08/1000000</x:f>
        <x:v>0.13282666666666665</x:v>
      </x:c>
      <x:c r="E14" s="176" t="n">
        <x:f>0.04+'01_Supuestos'!D8*0.08/1000000</x:f>
        <x:v>0.20122666666666666</x:v>
      </x:c>
      <x:c r="F14" s="176" t="n">
        <x:f>0.04+'01_Supuestos'!E8*0.08/1000000</x:f>
        <x:v>0.28282666666666667</x:v>
      </x:c>
      <x:c r="G14" s="175" t="inlineStr">
        <x:is>
          <x:t xml:space="preserve">m2 emitidos</x:t>
        </x:is>
      </x:c>
      <x:c r="H14" s="175" t="inlineStr">
        <x:is>
          <x:t xml:space="preserve">Material de implantacion, pruebas de campo y reposicion.</x:t>
        </x:is>
      </x:c>
    </x:row>
    <x:row r="15">
      <x:c r="A15" s="175" t="inlineStr">
        <x:is>
          <x:t xml:space="preserve">Operaciones / Delivery</x:t>
        </x:is>
      </x:c>
      <x:c r="B15" s="175" t="inlineStr">
        <x:is>
          <x:t xml:space="preserve">Ensayos, certificaciones y controles</x:t>
        </x:is>
      </x:c>
      <x:c r="C15" s="176" t="n">
        <x:f>0.08+'02_Detalle_Ingresos'!B42*0.004</x:f>
        <x:v>0.11826811200000001</x:v>
      </x:c>
      <x:c r="D15" s="176" t="n">
        <x:f>0.08+'02_Detalle_Ingresos'!C42*0.004</x:f>
        <x:v>0.25547122559999996</x:v>
      </x:c>
      <x:c r="E15" s="176" t="n">
        <x:f>0.08+'02_Detalle_Ingresos'!D42*0.004</x:f>
        <x:v>0.4576756222666667</x:v>
      </x:c>
      <x:c r="F15" s="176" t="n">
        <x:f>0.08+'02_Detalle_Ingresos'!E42*0.004</x:f>
        <x:v>0.8481129601333333</x:v>
      </x:c>
      <x:c r="G15" s="175" t="inlineStr">
        <x:is>
          <x:t xml:space="preserve">Ingresos</x:t>
        </x:is>
      </x:c>
      <x:c r="H15" s="175" t="inlineStr">
        <x:is>
          <x:t xml:space="preserve">Ensayos, validacion externa, certificaciones y controles de terceros.</x:t>
        </x:is>
      </x:c>
    </x:row>
    <x:row r="16">
      <x:c r="A16" s="175" t="inlineStr">
        <x:is>
          <x:t xml:space="preserve">Operaciones / Delivery</x:t>
        </x:is>
      </x:c>
      <x:c r="B16" s="175" t="inlineStr">
        <x:is>
          <x:t xml:space="preserve">Alta y parametrización partners</x:t>
        </x:is>
      </x:c>
      <x:c r="C16" s="176" t="n">
        <x:f>'01_Supuestos'!B10*0.028</x:f>
        <x:v>0.14</x:v>
      </x:c>
      <x:c r="D16" s="176" t="n">
        <x:f>'01_Supuestos'!C10*0.028</x:f>
        <x:v>0.308</x:v>
      </x:c>
      <x:c r="E16" s="176" t="n">
        <x:f>'01_Supuestos'!D10*0.028</x:f>
        <x:v>0.47600000000000003</x:v>
      </x:c>
      <x:c r="F16" s="176" t="n">
        <x:f>'01_Supuestos'!E10*0.028</x:f>
        <x:v>0.644</x:v>
      </x:c>
      <x:c r="G16" s="175" t="inlineStr">
        <x:is>
          <x:t xml:space="preserve">Partners activos</x:t>
        </x:is>
      </x:c>
      <x:c r="H16" s="175" t="inlineStr">
        <x:is>
          <x:t xml:space="preserve">Alta de partners, parametrizacion, sesiones tecnicas y soporte inicial.</x:t>
        </x:is>
      </x:c>
    </x:row>
    <x:row r="17">
      <x:c r="A17" s="175" t="inlineStr">
        <x:is>
          <x:t xml:space="preserve">Operaciones / Delivery</x:t>
        </x:is>
      </x:c>
      <x:c r="B17" s="175" t="inlineStr">
        <x:is>
          <x:t xml:space="preserve">Manuales, protocolos y formación red</x:t>
        </x:is>
      </x:c>
      <x:c r="C17" s="176" t="n">
        <x:f>0.04+'01_Supuestos'!B10*0.012</x:f>
        <x:v>0.1</x:v>
      </x:c>
      <x:c r="D17" s="176" t="n">
        <x:f>0.04+'01_Supuestos'!C10*0.012</x:f>
        <x:v>0.17200000000000001</x:v>
      </x:c>
      <x:c r="E17" s="176" t="n">
        <x:f>0.04+'01_Supuestos'!D10*0.012</x:f>
        <x:v>0.24400000000000002</x:v>
      </x:c>
      <x:c r="F17" s="176" t="n">
        <x:f>0.04+'01_Supuestos'!E10*0.012</x:f>
        <x:v>0.316</x:v>
      </x:c>
      <x:c r="G17" s="175" t="inlineStr">
        <x:is>
          <x:t xml:space="preserve">Partners activos</x:t>
        </x:is>
      </x:c>
      <x:c r="H17" s="175" t="inlineStr">
        <x:is>
          <x:t xml:space="preserve">Contenidos, manuales, protocolos y entrenamiento de red.</x:t>
        </x:is>
      </x:c>
    </x:row>
    <x:row r="18">
      <x:c r="A18" s="175" t="inlineStr">
        <x:is>
          <x:t xml:space="preserve">Operaciones / Delivery</x:t>
        </x:is>
      </x:c>
      <x:c r="B18" s="175" t="inlineStr">
        <x:is>
          <x:t xml:space="preserve">Despliegue y supervisión casos</x:t>
        </x:is>
      </x:c>
      <x:c r="C18" s="176" t="n">
        <x:f>'01_Supuestos'!B10*0.035</x:f>
        <x:v>0.17500000000000002</x:v>
      </x:c>
      <x:c r="D18" s="176" t="n">
        <x:f>'01_Supuestos'!C10*0.035</x:f>
        <x:v>0.385</x:v>
      </x:c>
      <x:c r="E18" s="176" t="n">
        <x:f>'01_Supuestos'!D10*0.035</x:f>
        <x:v>0.5950000000000001</x:v>
      </x:c>
      <x:c r="F18" s="176" t="n">
        <x:f>'01_Supuestos'!E10*0.035</x:f>
        <x:v>0.805</x:v>
      </x:c>
      <x:c r="G18" s="175" t="inlineStr">
        <x:is>
          <x:t xml:space="preserve">Partners activos</x:t>
        </x:is>
      </x:c>
      <x:c r="H18" s="175" t="inlineStr">
        <x:is>
          <x:t xml:space="preserve">Despliegue, visitas, puesta en marcha y supervision de casos.</x:t>
        </x:is>
      </x:c>
    </x:row>
    <x:row r="19">
      <x:c r="A19" s="175" t="inlineStr">
        <x:is>
          <x:t xml:space="preserve">Operaciones / Delivery</x:t>
        </x:is>
      </x:c>
      <x:c r="B19" s="175" t="inlineStr">
        <x:is>
          <x:t xml:space="preserve">Incidencias, logística urgente y desplazamientos</x:t>
        </x:is>
      </x:c>
      <x:c r="C19" s="176" t="n">
        <x:f>0.03+'01_Supuestos'!B8*0.05/1000000</x:f>
        <x:v>0.045</x:v>
      </x:c>
      <x:c r="D19" s="176" t="n">
        <x:f>0.03+'01_Supuestos'!C8*0.05/1000000</x:f>
        <x:v>0.08801666666666666</x:v>
      </x:c>
      <x:c r="E19" s="176" t="n">
        <x:f>0.03+'01_Supuestos'!D8*0.05/1000000</x:f>
        <x:v>0.13076666666666667</x:v>
      </x:c>
      <x:c r="F19" s="176" t="n">
        <x:f>0.03+'01_Supuestos'!E8*0.05/1000000</x:f>
        <x:v>0.1817666666666667</x:v>
      </x:c>
      <x:c r="G19" s="175" t="inlineStr">
        <x:is>
          <x:t xml:space="preserve">m2 emitidos</x:t>
        </x:is>
      </x:c>
      <x:c r="H19" s="175" t="inlineStr">
        <x:is>
          <x:t xml:space="preserve">Sustituciones, desplazamientos urgentes y logistica de incidencias.</x:t>
        </x:is>
      </x:c>
    </x:row>
    <x:row r="20">
      <x:c r="A20" s="175" t="inlineStr">
        <x:is>
          <x:t xml:space="preserve">Operaciones / Delivery</x:t>
        </x:is>
      </x:c>
      <x:c r="B20" s="175" t="inlineStr">
        <x:is>
          <x:t xml:space="preserve">Stock demo, prototipos y material operativo</x:t>
        </x:is>
      </x:c>
      <x:c r="C20" s="176" t="n">
        <x:v>0.05</x:v>
      </x:c>
      <x:c r="D20" s="176" t="n">
        <x:v>0.12</x:v>
      </x:c>
      <x:c r="E20" s="176" t="n">
        <x:v>0.2</x:v>
      </x:c>
      <x:c r="F20" s="176" t="n">
        <x:v>0.3</x:v>
      </x:c>
      <x:c r="G20" s="175" t="inlineStr">
        <x:is>
          <x:t xml:space="preserve">Input ramp</x:t>
        </x:is>
      </x:c>
      <x:c r="H20" s="175" t="inlineStr">
        <x:is>
          <x:t xml:space="preserve">Stock de demostracion, prototipos y material comercial/operativo.</x:t>
        </x:is>
      </x:c>
    </x:row>
    <x:row r="21">
      <x:c r="A21" s="175" t="inlineStr">
        <x:is>
          <x:t xml:space="preserve">Customer Success / Data</x:t>
        </x:is>
      </x:c>
      <x:c r="B21" s="175" t="inlineStr">
        <x:is>
          <x:t xml:space="preserve">Sistemas soporte y base conocimiento</x:t>
        </x:is>
      </x:c>
      <x:c r="C21" s="176" t="n">
        <x:f>0.03+'03_Detalle_Personal'!D38*1200/1000000</x:f>
        <x:v>0.0732</x:v>
      </x:c>
      <x:c r="D21" s="176" t="n">
        <x:f>0.03+'03_Detalle_Personal'!E38*1200/1000000</x:f>
        <x:v>0.1392</x:v>
      </x:c>
      <x:c r="E21" s="176" t="n">
        <x:f>0.03+'03_Detalle_Personal'!F38*1200/1000000</x:f>
        <x:v>0.2244</x:v>
      </x:c>
      <x:c r="F21" s="176" t="n">
        <x:f>0.03+'03_Detalle_Personal'!G38*1200/1000000</x:f>
        <x:v>0.33719999999999994</x:v>
      </x:c>
      <x:c r="G21" s="175" t="inlineStr">
        <x:is>
          <x:t xml:space="preserve">FTE</x:t>
        </x:is>
      </x:c>
      <x:c r="H21" s="175" t="inlineStr">
        <x:is>
          <x:t xml:space="preserve">Sistemas de soporte, bases de conocimiento y atencion a clientes.</x:t>
        </x:is>
      </x:c>
    </x:row>
    <x:row r="22">
      <x:c r="A22" s="175" t="inlineStr">
        <x:is>
          <x:t xml:space="preserve">Customer Success / Data</x:t>
        </x:is>
      </x:c>
      <x:c r="B22" s="175" t="inlineStr">
        <x:is>
          <x:t xml:space="preserve">Explotación datos y reporting evidencias</x:t>
        </x:is>
      </x:c>
      <x:c r="C22" s="176" t="n">
        <x:f>0.05+'01_Supuestos'!B9*0.07/1000000</x:f>
        <x:v>0.07100000000000001</x:v>
      </x:c>
      <x:c r="D22" s="176" t="n">
        <x:f>0.05+'01_Supuestos'!C9*0.07/1000000</x:f>
        <x:v>0.15222333333333335</x:v>
      </x:c>
      <x:c r="E22" s="176" t="n">
        <x:f>0.05+'01_Supuestos'!D9*0.07/1000000</x:f>
        <x:v>0.2932966666666667</x:v>
      </x:c>
      <x:c r="F22" s="176" t="n">
        <x:f>0.05+'01_Supuestos'!E9*0.07/1000000</x:f>
        <x:v>0.50577</x:v>
      </x:c>
      <x:c r="G22" s="175" t="inlineStr">
        <x:is>
          <x:t xml:space="preserve">Stock vivo</x:t>
        </x:is>
      </x:c>
      <x:c r="H22" s="175" t="inlineStr">
        <x:is>
          <x:t xml:space="preserve">Explotacion de datos, reporting recurrente y control de evidencias.</x:t>
        </x:is>
      </x:c>
    </x:row>
    <x:row r="23">
      <x:c r="A23" s="175" t="inlineStr">
        <x:is>
          <x:t xml:space="preserve">Customer Success / Data</x:t>
        </x:is>
      </x:c>
      <x:c r="B23" s="175" t="inlineStr">
        <x:is>
          <x:t xml:space="preserve">SLA, calidad y cumplimiento operativo</x:t>
        </x:is>
      </x:c>
      <x:c r="C23" s="176" t="n">
        <x:f>0.03+'02_Detalle_Ingresos'!B42*0.0015</x:f>
        <x:v>0.044350542</x:v>
      </x:c>
      <x:c r="D23" s="176" t="n">
        <x:f>0.03+'02_Detalle_Ingresos'!C42*0.0015</x:f>
        <x:v>0.09580170959999999</x:v>
      </x:c>
      <x:c r="E23" s="176" t="n">
        <x:f>0.03+'02_Detalle_Ingresos'!D42*0.0015</x:f>
        <x:v>0.17162835835</x:v>
      </x:c>
      <x:c r="F23" s="176" t="n">
        <x:f>0.03+'02_Detalle_Ingresos'!E42*0.0015</x:f>
        <x:v>0.31804236005</x:v>
      </x:c>
      <x:c r="G23" s="175" t="inlineStr">
        <x:is>
          <x:t xml:space="preserve">Ingresos</x:t>
        </x:is>
      </x:c>
      <x:c r="H23" s="175" t="inlineStr">
        <x:is>
          <x:t xml:space="preserve">Monitorizacion de SLA, calidad y cumplimiento operativo.</x:t>
        </x:is>
      </x:c>
    </x:row>
    <x:row r="24">
      <x:c r="A24" s="175" t="inlineStr">
        <x:is>
          <x:t xml:space="preserve">Customer Success / Data</x:t>
        </x:is>
      </x:c>
      <x:c r="B24" s="175" t="inlineStr">
        <x:is>
          <x:t xml:space="preserve">Biblioteca documental y plantillas</x:t>
        </x:is>
      </x:c>
      <x:c r="C24" s="176" t="n">
        <x:f>0.02+'01_Supuestos'!B10*0.008</x:f>
        <x:v>0.06</x:v>
      </x:c>
      <x:c r="D24" s="176" t="n">
        <x:f>0.02+'01_Supuestos'!C10*0.008</x:f>
        <x:v>0.108</x:v>
      </x:c>
      <x:c r="E24" s="176" t="n">
        <x:f>0.02+'01_Supuestos'!D10*0.008</x:f>
        <x:v>0.156</x:v>
      </x:c>
      <x:c r="F24" s="176" t="n">
        <x:f>0.02+'01_Supuestos'!E10*0.008</x:f>
        <x:v>0.204</x:v>
      </x:c>
      <x:c r="G24" s="175" t="inlineStr">
        <x:is>
          <x:t xml:space="preserve">Partners activos</x:t>
        </x:is>
      </x:c>
      <x:c r="H24" s="175" t="inlineStr">
        <x:is>
          <x:t xml:space="preserve">Biblioteca documental, plantillas de entrega y guias de uso.</x:t>
        </x:is>
      </x:c>
    </x:row>
    <x:row r="25">
      <x:c r="A25" s="175" t="inlineStr">
        <x:is>
          <x:t xml:space="preserve">GTM / Marketing</x:t>
        </x:is>
      </x:c>
      <x:c r="B25" s="175" t="inlineStr">
        <x:is>
          <x:t xml:space="preserve">Marca, web y narrativa comercial</x:t>
        </x:is>
      </x:c>
      <x:c r="C25" s="176" t="n">
        <x:v>0.2</x:v>
      </x:c>
      <x:c r="D25" s="176" t="n">
        <x:v>0.45</x:v>
      </x:c>
      <x:c r="E25" s="176" t="n">
        <x:v>0.7</x:v>
      </x:c>
      <x:c r="F25" s="176" t="n">
        <x:v>1</x:v>
      </x:c>
      <x:c r="G25" s="175" t="inlineStr">
        <x:is>
          <x:t xml:space="preserve">Input ramp</x:t>
        </x:is>
      </x:c>
      <x:c r="H25" s="175" t="inlineStr">
        <x:is>
          <x:t xml:space="preserve">Marca, web, narrativa, piezas comerciales y documentacion publica.</x:t>
        </x:is>
      </x:c>
    </x:row>
    <x:row r="26">
      <x:c r="A26" s="175" t="inlineStr">
        <x:is>
          <x:t xml:space="preserve">GTM / Marketing</x:t>
        </x:is>
      </x:c>
      <x:c r="B26" s="175" t="inlineStr">
        <x:is>
          <x:t xml:space="preserve">Demostradores, jornadas y pruebas comerciales</x:t>
        </x:is>
      </x:c>
      <x:c r="C26" s="176" t="n">
        <x:v>0.09</x:v>
      </x:c>
      <x:c r="D26" s="176" t="n">
        <x:v>0.25</x:v>
      </x:c>
      <x:c r="E26" s="176" t="n">
        <x:v>0.45</x:v>
      </x:c>
      <x:c r="F26" s="176" t="n">
        <x:v>0.7</x:v>
      </x:c>
      <x:c r="G26" s="175" t="inlineStr">
        <x:is>
          <x:t xml:space="preserve">Input ramp</x:t>
        </x:is>
      </x:c>
      <x:c r="H26" s="175" t="inlineStr">
        <x:is>
          <x:t xml:space="preserve">Demostradores, presencia sectorial, jornadas y pruebas comerciales.</x:t>
        </x:is>
      </x:c>
    </x:row>
    <x:row r="27">
      <x:c r="A27" s="175" t="inlineStr">
        <x:is>
          <x:t xml:space="preserve">GTM / Marketing</x:t>
        </x:is>
      </x:c>
      <x:c r="B27" s="175" t="inlineStr">
        <x:is>
          <x:t xml:space="preserve">Comisiones, referral y canal</x:t>
        </x:is>
      </x:c>
      <x:c r="C27" s="176" t="n">
        <x:f>'02_Detalle_Ingresos'!B42*0.02</x:f>
        <x:v>0.19134056000000002</x:v>
      </x:c>
      <x:c r="D27" s="176" t="n">
        <x:f>'02_Detalle_Ingresos'!C42*0.02</x:f>
        <x:v>0.8773561279999998</x:v>
      </x:c>
      <x:c r="E27" s="176" t="n">
        <x:f>'02_Detalle_Ingresos'!D42*0.02</x:f>
        <x:v>1.8883781113333333</x:v>
      </x:c>
      <x:c r="F27" s="176" t="n">
        <x:f>'02_Detalle_Ingresos'!E42*0.02</x:f>
        <x:v>3.840564800666667</x:v>
      </x:c>
      <x:c r="G27" s="175" t="inlineStr">
        <x:is>
          <x:t xml:space="preserve">Ingresos</x:t>
        </x:is>
      </x:c>
      <x:c r="H27" s="175" t="inlineStr">
        <x:is>
          <x:t xml:space="preserve">Comisiones, referral, canal y soporte a partners comerciales.</x:t>
        </x:is>
      </x:c>
    </x:row>
    <x:row r="28">
      <x:c r="A28" s="175" t="inlineStr">
        <x:is>
          <x:t xml:space="preserve">GTM / Marketing</x:t>
        </x:is>
      </x:c>
      <x:c r="B28" s="175" t="inlineStr">
        <x:is>
          <x:t xml:space="preserve">Materiales, sesiones y campañas partners</x:t>
        </x:is>
      </x:c>
      <x:c r="C28" s="176" t="n">
        <x:f>0.04+'01_Supuestos'!B10*0.015</x:f>
        <x:v>0.11499999999999999</x:v>
      </x:c>
      <x:c r="D28" s="176" t="n">
        <x:f>0.04+'01_Supuestos'!C10*0.015</x:f>
        <x:v>0.205</x:v>
      </x:c>
      <x:c r="E28" s="176" t="n">
        <x:f>0.04+'01_Supuestos'!D10*0.015</x:f>
        <x:v>0.295</x:v>
      </x:c>
      <x:c r="F28" s="176" t="n">
        <x:f>0.04+'01_Supuestos'!E10*0.015</x:f>
        <x:v>0.38499999999999995</x:v>
      </x:c>
      <x:c r="G28" s="175" t="inlineStr">
        <x:is>
          <x:t xml:space="preserve">Partners activos</x:t>
        </x:is>
      </x:c>
      <x:c r="H28" s="175" t="inlineStr">
        <x:is>
          <x:t xml:space="preserve">Materiales, sesiones, campañas con partners y soporte a venta.</x:t>
        </x:is>
      </x:c>
    </x:row>
    <x:row r="29">
      <x:c r="A29" s="175" t="inlineStr">
        <x:is>
          <x:t xml:space="preserve">GTM / Marketing</x:t>
        </x:is>
      </x:c>
      <x:c r="B29" s="175" t="inlineStr">
        <x:is>
          <x:t xml:space="preserve">Documentos, decks y reporting externo</x:t>
        </x:is>
      </x:c>
      <x:c r="C29" s="176" t="n">
        <x:v>0.05</x:v>
      </x:c>
      <x:c r="D29" s="176" t="n">
        <x:v>0.1</x:v>
      </x:c>
      <x:c r="E29" s="176" t="n">
        <x:v>0.14</x:v>
      </x:c>
      <x:c r="F29" s="176" t="n">
        <x:v>0.18</x:v>
      </x:c>
      <x:c r="G29" s="175" t="inlineStr">
        <x:is>
          <x:t xml:space="preserve">Input ramp</x:t>
        </x:is>
      </x:c>
      <x:c r="H29" s="175" t="inlineStr">
        <x:is>
          <x:t xml:space="preserve">Documentos, decks, actualizaciones y material de reporting externo.</x:t>
        </x:is>
      </x:c>
    </x:row>
    <x:row r="30">
      <x:c r="A30" s="175" t="inlineStr">
        <x:is>
          <x:t xml:space="preserve">GTM / Marketing</x:t>
        </x:is>
      </x:c>
      <x:c r="B30" s="175" t="inlineStr">
        <x:is>
          <x:t xml:space="preserve">CRM, analítica comercial y pipeline</x:t>
        </x:is>
      </x:c>
      <x:c r="C30" s="176" t="n">
        <x:f>0.03+'03_Detalle_Personal'!D38*1000/1000000</x:f>
        <x:v>0.066</x:v>
      </x:c>
      <x:c r="D30" s="176" t="n">
        <x:f>0.03+'03_Detalle_Personal'!E38*1000/1000000</x:f>
        <x:v>0.121</x:v>
      </x:c>
      <x:c r="E30" s="176" t="n">
        <x:f>0.03+'03_Detalle_Personal'!F38*1000/1000000</x:f>
        <x:v>0.192</x:v>
      </x:c>
      <x:c r="F30" s="176" t="n">
        <x:f>0.03+'03_Detalle_Personal'!G38*1000/1000000</x:f>
        <x:v>0.28600000000000003</x:v>
      </x:c>
      <x:c r="G30" s="175" t="inlineStr">
        <x:is>
          <x:t xml:space="preserve">FTE</x:t>
        </x:is>
      </x:c>
      <x:c r="H30" s="175" t="inlineStr">
        <x:is>
          <x:t xml:space="preserve">CRM, analitica comercial, reporting de pipeline y automatizaciones.</x:t>
        </x:is>
      </x:c>
    </x:row>
    <x:row r="31">
      <x:c r="A31" s="175" t="inlineStr">
        <x:is>
          <x:t xml:space="preserve">G&amp;A</x:t>
        </x:is>
      </x:c>
      <x:c r="B31" s="175" t="inlineStr">
        <x:is>
          <x:t xml:space="preserve">Legal, IP, contratos y compliance</x:t>
        </x:is>
      </x:c>
      <x:c r="C31" s="176" t="n">
        <x:v>0.16</x:v>
      </x:c>
      <x:c r="D31" s="176" t="n">
        <x:v>0.28</x:v>
      </x:c>
      <x:c r="E31" s="176" t="n">
        <x:v>0.42</x:v>
      </x:c>
      <x:c r="F31" s="176" t="n">
        <x:v>0.58</x:v>
      </x:c>
      <x:c r="G31" s="175" t="inlineStr">
        <x:is>
          <x:t xml:space="preserve">Input ramp</x:t>
        </x:is>
      </x:c>
      <x:c r="H31" s="175" t="inlineStr">
        <x:is>
          <x:t xml:space="preserve">Legal, propiedad intelectual, contratos, compliance y privacidad.</x:t>
        </x:is>
      </x:c>
    </x:row>
    <x:row r="32">
      <x:c r="A32" s="175" t="inlineStr">
        <x:is>
          <x:t xml:space="preserve">G&amp;A</x:t>
        </x:is>
      </x:c>
      <x:c r="B32" s="175" t="inlineStr">
        <x:is>
          <x:t xml:space="preserve">Administración, seguros, bancos y control</x:t>
        </x:is>
      </x:c>
      <x:c r="C32" s="176" t="n">
        <x:f>0.14+'02_Detalle_Ingresos'!B42*0.003</x:f>
        <x:v>0.168701084</x:v>
      </x:c>
      <x:c r="D32" s="176" t="n">
        <x:f>0.14+'02_Detalle_Ingresos'!C42*0.003</x:f>
        <x:v>0.2716034192</x:v>
      </x:c>
      <x:c r="E32" s="176" t="n">
        <x:f>0.14+'02_Detalle_Ingresos'!D42*0.003</x:f>
        <x:v>0.42325671670000004</x:v>
      </x:c>
      <x:c r="F32" s="176" t="n">
        <x:f>0.14+'02_Detalle_Ingresos'!E42*0.003</x:f>
        <x:v>0.7160847201</x:v>
      </x:c>
      <x:c r="G32" s="175" t="inlineStr">
        <x:is>
          <x:t xml:space="preserve">Ingresos</x:t>
        </x:is>
      </x:c>
      <x:c r="H32" s="175" t="inlineStr">
        <x:is>
          <x:t xml:space="preserve">Administracion, seguros, reporting financiero, bancos y control.</x:t>
        </x:is>
      </x:c>
    </x:row>
    <x:row r="33">
      <x:c r="A33" s="175" t="inlineStr">
        <x:is>
          <x:t xml:space="preserve">G&amp;A</x:t>
        </x:is>
      </x:c>
      <x:c r="B33" s="175" t="inlineStr">
        <x:is>
          <x:t xml:space="preserve">Oficina, puestos, equipos y facilities</x:t>
        </x:is>
      </x:c>
      <x:c r="C33" s="176" t="n">
        <x:f>'03_Detalle_Personal'!D38*5500/1000000</x:f>
        <x:v>0.198</x:v>
      </x:c>
      <x:c r="D33" s="176" t="n">
        <x:f>'03_Detalle_Personal'!E38*5500/1000000</x:f>
        <x:v>0.5005</x:v>
      </x:c>
      <x:c r="E33" s="176" t="n">
        <x:f>'03_Detalle_Personal'!F38*5500/1000000</x:f>
        <x:v>0.891</x:v>
      </x:c>
      <x:c r="F33" s="176" t="n">
        <x:f>'03_Detalle_Personal'!G38*5500/1000000</x:f>
        <x:v>1.408</x:v>
      </x:c>
      <x:c r="G33" s="175" t="inlineStr">
        <x:is>
          <x:t xml:space="preserve">FTE</x:t>
        </x:is>
      </x:c>
      <x:c r="H33" s="175" t="inlineStr">
        <x:is>
          <x:t xml:space="preserve">Puestos, equipos, hub operativo, comunicaciones y facilities.</x:t>
        </x:is>
      </x:c>
    </x:row>
    <x:row r="34">
      <x:c r="A34" s="175" t="inlineStr">
        <x:is>
          <x:t xml:space="preserve">G&amp;A</x:t>
        </x:is>
      </x:c>
      <x:c r="B34" s="175" t="inlineStr">
        <x:is>
          <x:t xml:space="preserve">Auditoría, asesores y soporte corporativo</x:t>
        </x:is>
      </x:c>
      <x:c r="C34" s="176" t="n">
        <x:v>0.14</x:v>
      </x:c>
      <x:c r="D34" s="176" t="n">
        <x:v>0.24</x:v>
      </x:c>
      <x:c r="E34" s="176" t="n">
        <x:v>0.35</x:v>
      </x:c>
      <x:c r="F34" s="176" t="n">
        <x:v>0.5</x:v>
      </x:c>
      <x:c r="G34" s="175" t="inlineStr">
        <x:is>
          <x:t xml:space="preserve">Input ramp</x:t>
        </x:is>
      </x:c>
      <x:c r="H34" s="175" t="inlineStr">
        <x:is>
          <x:t xml:space="preserve">Auditoria, asesores especialistas, reporting y soporte corporativo.</x:t>
        </x:is>
      </x:c>
    </x:row>
    <x:row r="35">
      <x:c r="A35" s="175" t="inlineStr">
        <x:is>
          <x:t xml:space="preserve">G&amp;A</x:t>
        </x:is>
      </x:c>
      <x:c r="B35" s="175" t="inlineStr">
        <x:is>
          <x:t xml:space="preserve">Selección, formación y cultura operativa</x:t>
        </x:is>
      </x:c>
      <x:c r="C35" s="176" t="n">
        <x:f>0.03+'03_Detalle_Personal'!D38*2500/1000000</x:f>
        <x:v>0.12</x:v>
      </x:c>
      <x:c r="D35" s="176" t="n">
        <x:f>0.03+'03_Detalle_Personal'!E38*2500/1000000</x:f>
        <x:v>0.2575</x:v>
      </x:c>
      <x:c r="E35" s="176" t="n">
        <x:f>0.03+'03_Detalle_Personal'!F38*2500/1000000</x:f>
        <x:v>0.43500000000000005</x:v>
      </x:c>
      <x:c r="F35" s="176" t="n">
        <x:f>0.03+'03_Detalle_Personal'!G38*2500/1000000</x:f>
        <x:v>0.67</x:v>
      </x:c>
      <x:c r="G35" s="175" t="inlineStr">
        <x:is>
          <x:t xml:space="preserve">FTE</x:t>
        </x:is>
      </x:c>
      <x:c r="H35" s="175" t="inlineStr">
        <x:is>
          <x:t xml:space="preserve">Seleccion, formacion, onboarding operativo y cultura operativa.</x:t>
        </x:is>
      </x:c>
    </x:row>
    <x:row r="36">
      <x:c r="A36" s="175" t="inlineStr">
        <x:is>
          <x:t xml:space="preserve">G&amp;A</x:t>
        </x:is>
      </x:c>
      <x:c r="B36" s="175" t="inlineStr">
        <x:is>
          <x:t xml:space="preserve">Gobernanza, secretariado y accionarial</x:t>
        </x:is>
      </x:c>
      <x:c r="C36" s="176" t="n">
        <x:v>0.04</x:v>
      </x:c>
      <x:c r="D36" s="176" t="n">
        <x:v>0.08</x:v>
      </x:c>
      <x:c r="E36" s="176" t="n">
        <x:v>0.12</x:v>
      </x:c>
      <x:c r="F36" s="176" t="n">
        <x:v>0.18</x:v>
      </x:c>
      <x:c r="G36" s="175" t="inlineStr">
        <x:is>
          <x:t xml:space="preserve">Input ramp</x:t>
        </x:is>
      </x:c>
      <x:c r="H36" s="175" t="inlineStr">
        <x:is>
          <x:t xml:space="preserve">Gobernanza, secretariado, consejo, reporting accionarial.</x:t>
        </x:is>
      </x:c>
    </x:row>
    <x:row r="37">
      <x:c r="A37" s="175" t="inlineStr">
        <x:is>
          <x:t xml:space="preserve">Reserva / contingencia</x:t>
        </x:is>
      </x:c>
      <x:c r="B37" s="175" t="inlineStr">
        <x:is>
          <x:t xml:space="preserve">Reserva contingencia no-personal</x:t>
        </x:is>
      </x:c>
      <x:c r="C37" s="176" t="n">
        <x:f>SUM(C6:C36)*0.04</x:f>
        <x:v>0.13564249864</x:v>
      </x:c>
      <x:c r="D37" s="176" t="n">
        <x:f>SUM(D6:D36)*0.04</x:f>
        <x:v>0.30392490616533335</x:v>
      </x:c>
      <x:c r="E37" s="176" t="n">
        <x:f>SUM(E6:E36)*0.04</x:f>
        <x:v>0.5181587563486667</x:v>
      </x:c>
      <x:c r="F37" s="176" t="n">
        <x:f>SUM(F6:F36)*0.04</x:f>
        <x:v>0.8349329712460002</x:v>
      </x:c>
      <x:c r="G37" s="175" t="inlineStr">
        <x:is>
          <x:t xml:space="preserve">% subtotal no-personal</x:t>
        </x:is>
      </x:c>
      <x:c r="H37" s="175" t="inlineStr">
        <x:is>
          <x:t xml:space="preserve">Reserva del 4% sobre OPEX operativo no-personal antes de contingencia.</x:t>
        </x:is>
      </x:c>
    </x:row>
    <x:row r="38">
      <x:c r="A38" s="177" t="inlineStr">
        <x:is>
          <x:t xml:space="preserve">TOTAL OPEX OPERATIVO</x:t>
        </x:is>
      </x:c>
      <x:c r="B38" s="177" t="n"/>
      <x:c r="C38" s="178" t="n">
        <x:f>SUM(C6:C37)</x:f>
        <x:v>3.5267049646399995</x:v>
      </x:c>
      <x:c r="D38" s="178" t="n">
        <x:f>SUM(D6:D37)</x:f>
        <x:v>7.9020475602986675</x:v>
      </x:c>
      <x:c r="E38" s="178" t="n">
        <x:f>SUM(E6:E37)</x:f>
        <x:v>13.472127665065333</x:v>
      </x:c>
      <x:c r="F38" s="178" t="n">
        <x:f>SUM(F6:F37)</x:f>
        <x:v>21.708257252396006</x:v>
      </x:c>
      <x:c r="G38" s="177" t="n"/>
      <x:c r="H38" s="177" t="n"/>
    </x:row>
    <x:row r="39">
      <x:c r="A39" s="13" t="n"/>
      <x:c r="B39" s="14" t="n"/>
      <x:c r="C39" s="14" t="n"/>
      <x:c r="D39" s="14" t="n"/>
      <x:c r="E39" s="14" t="n"/>
      <x:c r="F39" s="14" t="n"/>
      <x:c r="G39" s="14" t="n"/>
      <x:c r="H39" s="15" t="n"/>
    </x:row>
    <x:row r="40">
      <x:c r="A40" s="13" t="n"/>
      <x:c r="B40" s="14" t="n"/>
      <x:c r="C40" s="14" t="n"/>
      <x:c r="D40" s="14" t="n"/>
      <x:c r="E40" s="14" t="n"/>
      <x:c r="F40" s="14" t="n"/>
      <x:c r="G40" s="14" t="n"/>
      <x:c r="H40" s="15" t="n"/>
    </x:row>
    <x:row r="41">
      <x:c r="A41" s="13" t="n"/>
      <x:c r="B41" s="14" t="n"/>
      <x:c r="C41" s="14" t="n"/>
      <x:c r="D41" s="14" t="n"/>
      <x:c r="E41" s="14" t="n"/>
      <x:c r="F41" s="14" t="n"/>
      <x:c r="G41" s="14" t="n"/>
      <x:c r="H41" s="15" t="n"/>
    </x:row>
    <x:row r="42">
      <x:c r="A42" s="13" t="n"/>
      <x:c r="B42" s="14" t="n"/>
      <x:c r="C42" s="14" t="n"/>
      <x:c r="D42" s="14" t="n"/>
      <x:c r="E42" s="14" t="n"/>
      <x:c r="F42" s="14" t="n"/>
      <x:c r="G42" s="14" t="n"/>
      <x:c r="H42" s="15" t="n"/>
    </x:row>
    <x:row r="43">
      <x:c r="A43" s="13" t="n"/>
      <x:c r="B43" s="14" t="n"/>
      <x:c r="C43" s="14" t="n"/>
      <x:c r="D43" s="14" t="n"/>
      <x:c r="E43" s="14" t="n"/>
      <x:c r="F43" s="14" t="n"/>
      <x:c r="G43" s="14" t="n"/>
      <x:c r="H43" s="15" t="n"/>
    </x:row>
    <x:row r="44">
      <x:c r="A44" s="13" t="n"/>
      <x:c r="B44" s="14" t="n"/>
      <x:c r="C44" s="14" t="n"/>
      <x:c r="D44" s="14" t="n"/>
      <x:c r="E44" s="14" t="n"/>
      <x:c r="F44" s="14" t="n"/>
      <x:c r="G44" s="14" t="n"/>
      <x:c r="H44" s="15" t="n"/>
    </x:row>
    <x:row r="45">
      <x:c r="A45" s="13" t="n"/>
      <x:c r="B45" s="14" t="n"/>
      <x:c r="C45" s="14" t="n"/>
      <x:c r="D45" s="14" t="n"/>
      <x:c r="E45" s="14" t="n"/>
      <x:c r="F45" s="14" t="n"/>
      <x:c r="G45" s="14" t="n"/>
      <x:c r="H45" s="15" t="n"/>
    </x:row>
    <x:row r="46">
      <x:c r="A46" s="13" t="n"/>
      <x:c r="B46" s="14" t="n"/>
      <x:c r="C46" s="14" t="n"/>
      <x:c r="D46" s="14" t="n"/>
      <x:c r="E46" s="14" t="n"/>
      <x:c r="F46" s="14" t="n"/>
      <x:c r="G46" s="14" t="n"/>
      <x:c r="H46" s="15" t="n"/>
    </x:row>
    <x:row r="47">
      <x:c r="A47" s="13" t="n"/>
      <x:c r="B47" s="14" t="n"/>
      <x:c r="C47" s="14" t="n"/>
      <x:c r="D47" s="14" t="n"/>
      <x:c r="E47" s="14" t="n"/>
      <x:c r="F47" s="14" t="n"/>
      <x:c r="G47" s="14" t="n"/>
      <x:c r="H47" s="15" t="n"/>
    </x:row>
    <x:row r="48">
      <x:c r="A48" s="13" t="n"/>
      <x:c r="B48" s="14" t="n"/>
      <x:c r="C48" s="14" t="n"/>
      <x:c r="D48" s="14" t="n"/>
      <x:c r="E48" s="14" t="n"/>
      <x:c r="F48" s="14" t="n"/>
      <x:c r="G48" s="14" t="n"/>
      <x:c r="H48" s="15" t="n"/>
    </x:row>
    <x:row r="49">
      <x:c r="A49" s="13" t="n"/>
      <x:c r="B49" s="14" t="n"/>
      <x:c r="C49" s="14" t="n"/>
      <x:c r="D49" s="14" t="n"/>
      <x:c r="E49" s="14" t="n"/>
      <x:c r="F49" s="14" t="n"/>
      <x:c r="G49" s="14" t="n"/>
      <x:c r="H49" s="15" t="n"/>
    </x:row>
    <x:row r="50">
      <x:c r="A50" s="13" t="n"/>
      <x:c r="B50" s="14" t="n"/>
      <x:c r="C50" s="14" t="n"/>
      <x:c r="D50" s="14" t="n"/>
      <x:c r="E50" s="14" t="n"/>
      <x:c r="F50" s="14" t="n"/>
      <x:c r="G50" s="14" t="n"/>
      <x:c r="H50" s="15" t="n"/>
    </x:row>
    <x:row r="51">
      <x:c r="A51" s="13" t="n"/>
      <x:c r="B51" s="14" t="n"/>
      <x:c r="C51" s="14" t="n"/>
      <x:c r="D51" s="14" t="n"/>
      <x:c r="E51" s="14" t="n"/>
      <x:c r="F51" s="14" t="n"/>
      <x:c r="G51" s="14" t="n"/>
      <x:c r="H51" s="15" t="n"/>
    </x:row>
    <x:row r="52">
      <x:c r="A52" s="13" t="n"/>
      <x:c r="B52" s="14" t="n"/>
      <x:c r="C52" s="14" t="n"/>
      <x:c r="D52" s="14" t="n"/>
      <x:c r="E52" s="14" t="n"/>
      <x:c r="F52" s="14" t="n"/>
      <x:c r="G52" s="14" t="n"/>
      <x:c r="H52" s="15" t="n"/>
    </x:row>
    <x:row r="53">
      <x:c r="A53" s="13" t="n"/>
      <x:c r="B53" s="14" t="n"/>
      <x:c r="C53" s="14" t="n"/>
      <x:c r="D53" s="14" t="n"/>
      <x:c r="E53" s="14" t="n"/>
      <x:c r="F53" s="14" t="n"/>
      <x:c r="G53" s="14" t="n"/>
      <x:c r="H53" s="15" t="n"/>
    </x:row>
    <x:row r="54">
      <x:c r="A54" s="13" t="n"/>
      <x:c r="B54" s="14" t="n"/>
      <x:c r="C54" s="14" t="n"/>
      <x:c r="D54" s="14" t="n"/>
      <x:c r="E54" s="14" t="n"/>
      <x:c r="F54" s="14" t="n"/>
      <x:c r="G54" s="14" t="n"/>
      <x:c r="H54" s="15" t="n"/>
    </x:row>
    <x:row r="55">
      <x:c r="A55" s="13" t="n"/>
      <x:c r="B55" s="14" t="n"/>
      <x:c r="C55" s="14" t="n"/>
      <x:c r="D55" s="14" t="n"/>
      <x:c r="E55" s="14" t="n"/>
      <x:c r="F55" s="14" t="n"/>
      <x:c r="G55" s="14" t="n"/>
      <x:c r="H55" s="15" t="n"/>
    </x:row>
    <x:row r="56">
      <x:c r="A56" s="13" t="n"/>
      <x:c r="B56" s="14" t="n"/>
      <x:c r="C56" s="14" t="n"/>
      <x:c r="D56" s="14" t="n"/>
      <x:c r="E56" s="14" t="n"/>
      <x:c r="F56" s="14" t="n"/>
      <x:c r="G56" s="14" t="n"/>
      <x:c r="H56" s="15" t="n"/>
    </x:row>
    <x:row r="57">
      <x:c r="A57" s="13" t="n"/>
      <x:c r="B57" s="14" t="n"/>
      <x:c r="C57" s="14" t="n"/>
      <x:c r="D57" s="14" t="n"/>
      <x:c r="E57" s="14" t="n"/>
      <x:c r="F57" s="14" t="n"/>
      <x:c r="G57" s="14" t="n"/>
      <x:c r="H57" s="15" t="n"/>
    </x:row>
    <x:row r="58">
      <x:c r="A58" s="13" t="n"/>
      <x:c r="B58" s="14" t="n"/>
      <x:c r="C58" s="14" t="n"/>
      <x:c r="D58" s="14" t="n"/>
      <x:c r="E58" s="14" t="n"/>
      <x:c r="F58" s="14" t="n"/>
      <x:c r="G58" s="14" t="n"/>
      <x:c r="H58" s="15" t="n"/>
    </x:row>
    <x:row r="59">
      <x:c r="A59" s="13" t="n"/>
      <x:c r="B59" s="14" t="n"/>
      <x:c r="C59" s="14" t="n"/>
      <x:c r="D59" s="14" t="n"/>
      <x:c r="E59" s="14" t="n"/>
      <x:c r="F59" s="14" t="n"/>
      <x:c r="G59" s="14" t="n"/>
      <x:c r="H59" s="15" t="n"/>
    </x:row>
    <x:row r="60">
      <x:c r="A60" s="13" t="n"/>
      <x:c r="B60" s="14" t="n"/>
      <x:c r="C60" s="14" t="n"/>
      <x:c r="D60" s="14" t="n"/>
      <x:c r="E60" s="14" t="n"/>
      <x:c r="F60" s="14" t="n"/>
      <x:c r="G60" s="14" t="n"/>
      <x:c r="H60" s="15" t="n"/>
    </x:row>
    <x:row r="61">
      <x:c r="A61" s="13" t="n"/>
      <x:c r="B61" s="14" t="n"/>
      <x:c r="C61" s="14" t="n"/>
      <x:c r="D61" s="14" t="n"/>
      <x:c r="E61" s="14" t="n"/>
      <x:c r="F61" s="14" t="n"/>
      <x:c r="G61" s="14" t="n"/>
      <x:c r="H61" s="15" t="n"/>
    </x:row>
    <x:row r="62">
      <x:c r="A62" s="13" t="n"/>
      <x:c r="B62" s="14" t="n"/>
      <x:c r="C62" s="14" t="n"/>
      <x:c r="D62" s="14" t="n"/>
      <x:c r="E62" s="14" t="n"/>
      <x:c r="F62" s="14" t="n"/>
      <x:c r="G62" s="14" t="n"/>
      <x:c r="H62" s="15" t="n"/>
    </x:row>
    <x:row r="63">
      <x:c r="A63" s="13" t="n"/>
      <x:c r="B63" s="14" t="n"/>
      <x:c r="C63" s="14" t="n"/>
      <x:c r="D63" s="14" t="n"/>
      <x:c r="E63" s="14" t="n"/>
      <x:c r="F63" s="14" t="n"/>
      <x:c r="G63" s="14" t="n"/>
      <x:c r="H63" s="15" t="n"/>
    </x:row>
    <x:row r="64">
      <x:c r="A64" s="13" t="n"/>
      <x:c r="B64" s="14" t="n"/>
      <x:c r="C64" s="14" t="n"/>
      <x:c r="D64" s="14" t="n"/>
      <x:c r="E64" s="14" t="n"/>
      <x:c r="F64" s="14" t="n"/>
      <x:c r="G64" s="14" t="n"/>
      <x:c r="H64" s="15" t="n"/>
    </x:row>
    <x:row r="65">
      <x:c r="A65" s="13" t="n"/>
      <x:c r="B65" s="14" t="n"/>
      <x:c r="C65" s="14" t="n"/>
      <x:c r="D65" s="14" t="n"/>
      <x:c r="E65" s="14" t="n"/>
      <x:c r="F65" s="14" t="n"/>
      <x:c r="G65" s="14" t="n"/>
      <x:c r="H65" s="15" t="n"/>
    </x:row>
    <x:row r="66">
      <x:c r="A66" s="13" t="n"/>
      <x:c r="B66" s="14" t="n"/>
      <x:c r="C66" s="14" t="n"/>
      <x:c r="D66" s="14" t="n"/>
      <x:c r="E66" s="14" t="n"/>
      <x:c r="F66" s="14" t="n"/>
      <x:c r="G66" s="14" t="n"/>
      <x:c r="H66" s="15" t="n"/>
    </x:row>
    <x:row r="67">
      <x:c r="A67" s="13" t="n"/>
      <x:c r="B67" s="14" t="n"/>
      <x:c r="C67" s="14" t="n"/>
      <x:c r="D67" s="14" t="n"/>
      <x:c r="E67" s="14" t="n"/>
      <x:c r="F67" s="14" t="n"/>
      <x:c r="G67" s="14" t="n"/>
      <x:c r="H67" s="15" t="n"/>
    </x:row>
    <x:row r="68">
      <x:c r="A68" s="13" t="n"/>
      <x:c r="B68" s="14" t="n"/>
      <x:c r="C68" s="14" t="n"/>
      <x:c r="D68" s="14" t="n"/>
      <x:c r="E68" s="14" t="n"/>
      <x:c r="F68" s="14" t="n"/>
      <x:c r="G68" s="14" t="n"/>
      <x:c r="H68" s="15" t="n"/>
    </x:row>
    <x:row r="69">
      <x:c r="A69" s="13" t="n"/>
      <x:c r="B69" s="14" t="n"/>
      <x:c r="C69" s="14" t="n"/>
      <x:c r="D69" s="14" t="n"/>
      <x:c r="E69" s="14" t="n"/>
      <x:c r="F69" s="14" t="n"/>
      <x:c r="G69" s="14" t="n"/>
      <x:c r="H69" s="15" t="n"/>
    </x:row>
    <x:row r="70">
      <x:c r="A70" s="13" t="n"/>
      <x:c r="B70" s="14" t="n"/>
      <x:c r="C70" s="14" t="n"/>
      <x:c r="D70" s="14" t="n"/>
      <x:c r="E70" s="14" t="n"/>
      <x:c r="F70" s="14" t="n"/>
      <x:c r="G70" s="14" t="n"/>
      <x:c r="H70" s="15" t="n"/>
    </x:row>
    <x:row r="71">
      <x:c r="A71" s="13" t="n"/>
      <x:c r="B71" s="14" t="n"/>
      <x:c r="C71" s="14" t="n"/>
      <x:c r="D71" s="14" t="n"/>
      <x:c r="E71" s="14" t="n"/>
      <x:c r="F71" s="14" t="n"/>
      <x:c r="G71" s="14" t="n"/>
      <x:c r="H71" s="15" t="n"/>
    </x:row>
    <x:row r="72">
      <x:c r="A72" s="13" t="n"/>
      <x:c r="B72" s="14" t="n"/>
      <x:c r="C72" s="14" t="n"/>
      <x:c r="D72" s="14" t="n"/>
      <x:c r="E72" s="14" t="n"/>
      <x:c r="F72" s="14" t="n"/>
      <x:c r="G72" s="14" t="n"/>
      <x:c r="H72" s="15" t="n"/>
    </x:row>
    <x:row r="73">
      <x:c r="A73" s="13" t="n"/>
      <x:c r="B73" s="14" t="n"/>
      <x:c r="C73" s="14" t="n"/>
      <x:c r="D73" s="14" t="n"/>
      <x:c r="E73" s="14" t="n"/>
      <x:c r="F73" s="14" t="n"/>
      <x:c r="G73" s="14" t="n"/>
      <x:c r="H73" s="15" t="n"/>
    </x:row>
    <x:row r="74">
      <x:c r="A74" s="13" t="n"/>
      <x:c r="B74" s="14" t="n"/>
      <x:c r="C74" s="14" t="n"/>
      <x:c r="D74" s="14" t="n"/>
      <x:c r="E74" s="14" t="n"/>
      <x:c r="F74" s="14" t="n"/>
      <x:c r="G74" s="14" t="n"/>
      <x:c r="H74" s="15" t="n"/>
    </x:row>
    <x:row r="75">
      <x:c r="A75" s="13" t="n"/>
      <x:c r="B75" s="14" t="n"/>
      <x:c r="C75" s="14" t="n"/>
      <x:c r="D75" s="14" t="n"/>
      <x:c r="E75" s="14" t="n"/>
      <x:c r="F75" s="14" t="n"/>
      <x:c r="G75" s="14" t="n"/>
      <x:c r="H75" s="15" t="n"/>
    </x:row>
    <x:row r="76">
      <x:c r="A76" s="13" t="n"/>
      <x:c r="B76" s="14" t="n"/>
      <x:c r="C76" s="14" t="n"/>
      <x:c r="D76" s="14" t="n"/>
      <x:c r="E76" s="14" t="n"/>
      <x:c r="F76" s="14" t="n"/>
      <x:c r="G76" s="14" t="n"/>
      <x:c r="H76" s="15" t="n"/>
    </x:row>
    <x:row r="77">
      <x:c r="A77" s="13" t="n"/>
      <x:c r="B77" s="14" t="n"/>
      <x:c r="C77" s="14" t="n"/>
      <x:c r="D77" s="14" t="n"/>
      <x:c r="E77" s="14" t="n"/>
      <x:c r="F77" s="14" t="n"/>
      <x:c r="G77" s="14" t="n"/>
      <x:c r="H77" s="15" t="n"/>
    </x:row>
    <x:row r="78">
      <x:c r="A78" s="13" t="n"/>
      <x:c r="B78" s="14" t="n"/>
      <x:c r="C78" s="14" t="n"/>
      <x:c r="D78" s="14" t="n"/>
      <x:c r="E78" s="14" t="n"/>
      <x:c r="F78" s="14" t="n"/>
      <x:c r="G78" s="14" t="n"/>
      <x:c r="H78" s="15" t="n"/>
    </x:row>
    <x:row r="79">
      <x:c r="A79" s="13" t="n"/>
      <x:c r="B79" s="14" t="n"/>
      <x:c r="C79" s="14" t="n"/>
      <x:c r="D79" s="14" t="n"/>
      <x:c r="E79" s="14" t="n"/>
      <x:c r="F79" s="14" t="n"/>
      <x:c r="G79" s="14" t="n"/>
      <x:c r="H79" s="15" t="n"/>
    </x:row>
    <x:row r="80">
      <x:c r="A80" s="13" t="n"/>
      <x:c r="B80" s="14" t="n"/>
      <x:c r="C80" s="14" t="n"/>
      <x:c r="D80" s="14" t="n"/>
      <x:c r="E80" s="14" t="n"/>
      <x:c r="F80" s="14" t="n"/>
      <x:c r="G80" s="14" t="n"/>
      <x:c r="H80" s="15" t="n"/>
    </x:row>
    <x:row r="81">
      <x:c r="A81" s="13" t="n"/>
      <x:c r="B81" s="14" t="n"/>
      <x:c r="C81" s="14" t="n"/>
      <x:c r="D81" s="14" t="n"/>
      <x:c r="E81" s="14" t="n"/>
      <x:c r="F81" s="14" t="n"/>
      <x:c r="G81" s="14" t="n"/>
      <x:c r="H81" s="15" t="n"/>
    </x:row>
    <x:row r="82">
      <x:c r="A82" s="13" t="n"/>
      <x:c r="B82" s="14" t="n"/>
      <x:c r="C82" s="14" t="n"/>
      <x:c r="D82" s="14" t="n"/>
      <x:c r="E82" s="14" t="n"/>
      <x:c r="F82" s="14" t="n"/>
      <x:c r="G82" s="14" t="n"/>
      <x:c r="H82" s="15" t="n"/>
    </x:row>
    <x:row r="83">
      <x:c r="A83" s="13" t="n"/>
      <x:c r="B83" s="14" t="n"/>
      <x:c r="C83" s="14" t="n"/>
      <x:c r="D83" s="14" t="n"/>
      <x:c r="E83" s="14" t="n"/>
      <x:c r="F83" s="14" t="n"/>
      <x:c r="G83" s="14" t="n"/>
      <x:c r="H83" s="15" t="n"/>
    </x:row>
    <x:row r="84">
      <x:c r="A84" s="13" t="n"/>
      <x:c r="B84" s="14" t="n"/>
      <x:c r="C84" s="14" t="n"/>
      <x:c r="D84" s="14" t="n"/>
      <x:c r="E84" s="14" t="n"/>
      <x:c r="F84" s="14" t="n"/>
      <x:c r="G84" s="14" t="n"/>
      <x:c r="H84" s="15" t="n"/>
    </x:row>
    <x:row r="85">
      <x:c r="A85" s="13" t="n"/>
      <x:c r="B85" s="14" t="n"/>
      <x:c r="C85" s="14" t="n"/>
      <x:c r="D85" s="14" t="n"/>
      <x:c r="E85" s="14" t="n"/>
      <x:c r="F85" s="14" t="n"/>
      <x:c r="G85" s="14" t="n"/>
      <x:c r="H85" s="15" t="n"/>
    </x:row>
    <x:row r="86">
      <x:c r="A86" s="13" t="n"/>
      <x:c r="B86" s="14" t="n"/>
      <x:c r="C86" s="14" t="n"/>
      <x:c r="D86" s="14" t="n"/>
      <x:c r="E86" s="14" t="n"/>
      <x:c r="F86" s="14" t="n"/>
      <x:c r="G86" s="14" t="n"/>
      <x:c r="H86" s="15" t="n"/>
    </x:row>
    <x:row r="87">
      <x:c r="A87" s="13" t="n"/>
      <x:c r="B87" s="14" t="n"/>
      <x:c r="C87" s="14" t="n"/>
      <x:c r="D87" s="14" t="n"/>
      <x:c r="E87" s="14" t="n"/>
      <x:c r="F87" s="14" t="n"/>
      <x:c r="G87" s="14" t="n"/>
      <x:c r="H87" s="15" t="n"/>
    </x:row>
    <x:row r="88">
      <x:c r="A88" s="13" t="n"/>
      <x:c r="B88" s="14" t="n"/>
      <x:c r="C88" s="14" t="n"/>
      <x:c r="D88" s="14" t="n"/>
      <x:c r="E88" s="14" t="n"/>
      <x:c r="F88" s="14" t="n"/>
      <x:c r="G88" s="14" t="n"/>
      <x:c r="H88" s="15" t="n"/>
    </x:row>
    <x:row r="89">
      <x:c r="A89" s="13" t="n"/>
      <x:c r="B89" s="14" t="n"/>
      <x:c r="C89" s="14" t="n"/>
      <x:c r="D89" s="14" t="n"/>
      <x:c r="E89" s="14" t="n"/>
      <x:c r="F89" s="14" t="n"/>
      <x:c r="G89" s="14" t="n"/>
      <x:c r="H89" s="15" t="n"/>
    </x:row>
    <x:row r="90">
      <x:c r="A90" s="13" t="n"/>
      <x:c r="B90" s="14" t="n"/>
      <x:c r="C90" s="14" t="n"/>
      <x:c r="D90" s="14" t="n"/>
      <x:c r="E90" s="14" t="n"/>
      <x:c r="F90" s="14" t="n"/>
      <x:c r="G90" s="14" t="n"/>
      <x:c r="H90" s="15" t="n"/>
    </x:row>
    <x:row r="91">
      <x:c r="A91" s="13" t="n"/>
      <x:c r="B91" s="14" t="n"/>
      <x:c r="C91" s="14" t="n"/>
      <x:c r="D91" s="14" t="n"/>
      <x:c r="E91" s="14" t="n"/>
      <x:c r="F91" s="14" t="n"/>
      <x:c r="G91" s="14" t="n"/>
      <x:c r="H91" s="15" t="n"/>
    </x:row>
    <x:row r="92">
      <x:c r="A92" s="13" t="n"/>
      <x:c r="B92" s="14" t="n"/>
      <x:c r="C92" s="14" t="n"/>
      <x:c r="D92" s="14" t="n"/>
      <x:c r="E92" s="14" t="n"/>
      <x:c r="F92" s="14" t="n"/>
      <x:c r="G92" s="14" t="n"/>
      <x:c r="H92" s="15" t="n"/>
    </x:row>
    <x:row r="93">
      <x:c r="A93" s="13" t="n"/>
      <x:c r="B93" s="14" t="n"/>
      <x:c r="C93" s="14" t="n"/>
      <x:c r="D93" s="14" t="n"/>
      <x:c r="E93" s="14" t="n"/>
      <x:c r="F93" s="14" t="n"/>
      <x:c r="G93" s="14" t="n"/>
      <x:c r="H93" s="15" t="n"/>
    </x:row>
    <x:row r="94">
      <x:c r="A94" s="13" t="n"/>
      <x:c r="B94" s="14" t="n"/>
      <x:c r="C94" s="14" t="n"/>
      <x:c r="D94" s="14" t="n"/>
      <x:c r="E94" s="14" t="n"/>
      <x:c r="F94" s="14" t="n"/>
      <x:c r="G94" s="14" t="n"/>
      <x:c r="H94" s="15" t="n"/>
    </x:row>
    <x:row r="95">
      <x:c r="A95" s="16" t="n"/>
      <x:c r="B95" s="17" t="n"/>
      <x:c r="C95" s="17" t="n"/>
      <x:c r="D95" s="17" t="n"/>
      <x:c r="E95" s="17" t="n"/>
      <x:c r="F95" s="17" t="n"/>
      <x:c r="G95" s="17" t="n"/>
      <x:c r="H95" s="18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42" customWidth="1"/>
    <x:col min="3" max="3" width="30" customWidth="1"/>
    <x:col min="4" max="4" width="30" customWidth="1"/>
    <x:col min="5" max="5" width="13" customWidth="1"/>
    <x:col min="6" max="6" width="13" customWidth="1"/>
    <x:col min="7" max="7" width="13" customWidth="1"/>
    <x:col min="8" max="8" width="13" customWidth="1"/>
    <x:col min="9" max="9" width="42" customWidth="1"/>
  </x:cols>
  <x:sheetData>
    <x:row r="1">
      <x:c r="A1" s="179" t="inlineStr">
        <x:is>
          <x:t xml:space="preserve">Gastos operativos / G&amp;A detallado</x:t>
        </x:is>
      </x:c>
    </x:row>
    <x:row r="2">
      <x:c r="A2" s="180" t="inlineStr">
        <x:is>
          <x:t xml:space="preserve">Desglose auditable de bolsas existentes del modelo. No añade OPEX ni modifica el total del BP.</x:t>
        </x:is>
      </x:c>
    </x:row>
    <x:row r="4">
      <x:c r="A4" s="181" t="inlineStr">
        <x:is>
          <x:t xml:space="preserve">Control</x:t>
        </x:is>
      </x:c>
      <x:c r="B4" s="181" t="inlineStr">
        <x:is>
          <x:t xml:space="preserve">2026/27</x:t>
        </x:is>
      </x:c>
      <x:c r="C4" s="181" t="inlineStr">
        <x:is>
          <x:t xml:space="preserve">2028</x:t>
        </x:is>
      </x:c>
      <x:c r="D4" s="181" t="inlineStr">
        <x:is>
          <x:t xml:space="preserve">2029</x:t>
        </x:is>
      </x:c>
      <x:c r="E4" s="181" t="inlineStr">
        <x:is>
          <x:t xml:space="preserve">2030</x:t>
        </x:is>
      </x:c>
      <x:c r="F4" s="181" t="inlineStr">
        <x:is>
          <x:t xml:space="preserve">Fuente / lectura</x:t>
        </x:is>
      </x:c>
    </x:row>
    <x:row r="5">
      <x:c r="A5" s="182" t="inlineStr">
        <x:is>
          <x:t xml:space="preserve">Total G&amp;A modelo</x:t>
        </x:is>
      </x:c>
      <x:c r="B5" s="183" t="n">
        <x:f>'05_Detalle_OPEX'!B11</x:f>
        <x:v>0.826701084</x:v>
      </x:c>
      <x:c r="C5" s="183" t="n">
        <x:f>'05_Detalle_OPEX'!C11</x:f>
        <x:v>1.6296034192</x:v>
      </x:c>
      <x:c r="D5" s="183" t="n">
        <x:f>'05_Detalle_OPEX'!D11</x:f>
        <x:v>2.6392567167000003</x:v>
      </x:c>
      <x:c r="E5" s="183" t="n">
        <x:f>'05_Detalle_OPEX'!E11</x:f>
        <x:v>4.0540847201</x:v>
      </x:c>
      <x:c r="F5" s="182" t="inlineStr">
        <x:is>
          <x:t xml:space="preserve">Debe coincidir con G&amp;A del roll-up OPEX.</x:t>
        </x:is>
      </x:c>
    </x:row>
    <x:row r="6">
      <x:c r="A6" s="182" t="inlineStr">
        <x:is>
          <x:t xml:space="preserve">G&amp;A desglosado en esta pestaña</x:t>
        </x:is>
      </x:c>
      <x:c r="B6" s="183" t="n">
        <x:f>SUM(E16:E24)</x:f>
        <x:v>0.8267010840000001</x:v>
      </x:c>
      <x:c r="C6" s="183" t="n">
        <x:f>SUM(F16:F24)</x:f>
        <x:v>1.6296034192</x:v>
      </x:c>
      <x:c r="D6" s="183" t="n">
        <x:f>SUM(G16:G24)</x:f>
        <x:v>2.6392567167</x:v>
      </x:c>
      <x:c r="E6" s="183" t="n">
        <x:f>SUM(H16:H24)</x:f>
        <x:v>4.0540847201</x:v>
      </x:c>
      <x:c r="F6" s="182" t="inlineStr">
        <x:is>
          <x:t xml:space="preserve">Legal, administración, facilities, auditoría, people y gobernanza.</x:t>
        </x:is>
      </x:c>
    </x:row>
    <x:row r="7">
      <x:c r="A7" s="182" t="inlineStr">
        <x:is>
          <x:t xml:space="preserve">Diferencia control G&amp;A</x:t>
        </x:is>
      </x:c>
      <x:c r="B7" s="183" t="n">
        <x:f>B5-B6</x:f>
        <x:v>-1.1102230246251565e-16</x:v>
      </x:c>
      <x:c r="C7" s="183" t="n">
        <x:f>C5-C6</x:f>
        <x:v>0</x:v>
      </x:c>
      <x:c r="D7" s="183" t="n">
        <x:f>D5-D6</x:f>
        <x:v>4.440892098500626e-16</x:v>
      </x:c>
      <x:c r="E7" s="183" t="n">
        <x:f>E5-E6</x:f>
        <x:v>0</x:v>
      </x:c>
      <x:c r="F7" s="182" t="inlineStr">
        <x:is>
          <x:t xml:space="preserve">Debe ser cero.</x:t>
        </x:is>
      </x:c>
    </x:row>
    <x:row r="8">
      <x:c r="A8" s="182" t="inlineStr">
        <x:is>
          <x:t xml:space="preserve">Representación / viajes / comidas dentro de GTM</x:t>
        </x:is>
      </x:c>
      <x:c r="B8" s="183" t="n">
        <x:f>SUM(E27:E32)</x:f>
        <x:v>0.205</x:v>
      </x:c>
      <x:c r="C8" s="183" t="n">
        <x:f>SUM(F27:F32)</x:f>
        <x:v>0.45499999999999996</x:v>
      </x:c>
      <x:c r="D8" s="183" t="n">
        <x:f>SUM(G27:G32)</x:f>
        <x:v>0.745</x:v>
      </x:c>
      <x:c r="E8" s="183" t="n">
        <x:f>SUM(H27:H32)</x:f>
        <x:v>1.085</x:v>
      </x:c>
      <x:c r="F8" s="182" t="inlineStr">
        <x:is>
          <x:t xml:space="preserve">Desglose de partidas GTM existentes; no se suma de nuevo al G&amp;A.</x:t>
        </x:is>
      </x:c>
    </x:row>
    <x:row r="11">
      <x:c r="A11" s="174" t="inlineStr">
        <x:is>
          <x:t xml:space="preserve">Bloque</x:t>
        </x:is>
      </x:c>
      <x:c r="B11" s="174" t="inlineStr">
        <x:is>
          <x:t xml:space="preserve">Concepto</x:t>
        </x:is>
      </x:c>
      <x:c r="C11" s="174" t="inlineStr">
        <x:is>
          <x:t xml:space="preserve">Fuente modelo</x:t>
        </x:is>
      </x:c>
      <x:c r="D11" s="174" t="inlineStr">
        <x:is>
          <x:t xml:space="preserve">Driver / criterio</x:t>
        </x:is>
      </x:c>
      <x:c r="E11" s="174" t="inlineStr">
        <x:is>
          <x:t xml:space="preserve">2026/27</x:t>
        </x:is>
      </x:c>
      <x:c r="F11" s="174" t="inlineStr">
        <x:is>
          <x:t xml:space="preserve">2028</x:t>
        </x:is>
      </x:c>
      <x:c r="G11" s="174" t="inlineStr">
        <x:is>
          <x:t xml:space="preserve">2029</x:t>
        </x:is>
      </x:c>
      <x:c r="H11" s="174" t="inlineStr">
        <x:is>
          <x:t xml:space="preserve">2030</x:t>
        </x:is>
      </x:c>
      <x:c r="I11" s="174" t="inlineStr">
        <x:is>
          <x:t xml:space="preserve">Nota</x:t>
        </x:is>
      </x:c>
    </x:row>
    <x:row r="12">
      <x:c r="A12" s="182" t="n"/>
      <x:c r="B12" s="182" t="n"/>
      <x:c r="C12" s="182" t="n"/>
      <x:c r="D12" s="182" t="n"/>
      <x:c r="E12" s="182" t="n"/>
      <x:c r="F12" s="182" t="n"/>
      <x:c r="G12" s="182" t="n"/>
      <x:c r="H12" s="182" t="n"/>
      <x:c r="I12" s="182" t="n"/>
    </x:row>
    <x:row r="13">
      <x:c r="A13" s="182" t="n"/>
      <x:c r="B13" s="182" t="n"/>
      <x:c r="C13" s="182" t="n"/>
      <x:c r="D13" s="182" t="n"/>
      <x:c r="E13" s="182" t="n"/>
      <x:c r="F13" s="182" t="n"/>
      <x:c r="G13" s="182" t="n"/>
      <x:c r="H13" s="182" t="n"/>
      <x:c r="I13" s="182" t="n"/>
    </x:row>
    <x:row r="14">
      <x:c r="A14" s="182" t="n"/>
      <x:c r="B14" s="182" t="n"/>
      <x:c r="C14" s="182" t="n"/>
      <x:c r="D14" s="182" t="n"/>
      <x:c r="E14" s="182" t="n"/>
      <x:c r="F14" s="182" t="n"/>
      <x:c r="G14" s="182" t="n"/>
      <x:c r="H14" s="182" t="n"/>
      <x:c r="I14" s="182" t="n"/>
    </x:row>
    <x:row r="15">
      <x:c r="A15" s="182" t="n"/>
      <x:c r="B15" s="182" t="n"/>
      <x:c r="C15" s="182" t="n"/>
      <x:c r="D15" s="182" t="n"/>
      <x:c r="E15" s="182" t="n"/>
      <x:c r="F15" s="182" t="n"/>
      <x:c r="G15" s="182" t="n"/>
      <x:c r="H15" s="182" t="n"/>
      <x:c r="I15" s="182" t="n"/>
    </x:row>
    <x:row r="16">
      <x:c r="A16" s="182" t="inlineStr">
        <x:is>
          <x:t xml:space="preserve">G&amp;A</x:t>
        </x:is>
      </x:c>
      <x:c r="B16" s="182" t="inlineStr">
        <x:is>
          <x:t xml:space="preserve">Legal, IP, contratos y compliance</x:t>
        </x:is>
      </x:c>
      <x:c r="C16" s="182" t="inlineStr">
        <x:is>
          <x:t xml:space="preserve">04_OPEX_Operativo fila 31</x:t>
        </x:is>
      </x:c>
      <x:c r="D16" s="182" t="inlineStr">
        <x:is>
          <x:t xml:space="preserve">Importe directo existente</x:t>
        </x:is>
      </x:c>
      <x:c r="E16" s="183" t="n">
        <x:f>'04_OPEX_Operativo'!C31</x:f>
        <x:v>0.16</x:v>
      </x:c>
      <x:c r="F16" s="183" t="n">
        <x:f>'04_OPEX_Operativo'!D31</x:f>
        <x:v>0.28</x:v>
      </x:c>
      <x:c r="G16" s="183" t="n">
        <x:f>'04_OPEX_Operativo'!E31</x:f>
        <x:v>0.42</x:v>
      </x:c>
      <x:c r="H16" s="183" t="n">
        <x:f>'04_OPEX_Operativo'!F31</x:f>
        <x:v>0.58</x:v>
      </x:c>
      <x:c r="I16" s="182" t="inlineStr">
        <x:is>
          <x:t xml:space="preserve">No se modifica.</x:t>
        </x:is>
      </x:c>
    </x:row>
    <x:row r="17">
      <x:c r="A17" s="182" t="inlineStr">
        <x:is>
          <x:t xml:space="preserve">G&amp;A</x:t>
        </x:is>
      </x:c>
      <x:c r="B17" s="182" t="inlineStr">
        <x:is>
          <x:t xml:space="preserve">Administración, seguros, bancos y control</x:t>
        </x:is>
      </x:c>
      <x:c r="C17" s="182" t="inlineStr">
        <x:is>
          <x:t xml:space="preserve">04_OPEX_Operativo fila 32</x:t>
        </x:is>
      </x:c>
      <x:c r="D17" s="182" t="inlineStr">
        <x:is>
          <x:t xml:space="preserve">Importe directo existente</x:t>
        </x:is>
      </x:c>
      <x:c r="E17" s="183" t="n">
        <x:f>'04_OPEX_Operativo'!C32</x:f>
        <x:v>0.168701084</x:v>
      </x:c>
      <x:c r="F17" s="183" t="n">
        <x:f>'04_OPEX_Operativo'!D32</x:f>
        <x:v>0.2716034192</x:v>
      </x:c>
      <x:c r="G17" s="183" t="n">
        <x:f>'04_OPEX_Operativo'!E32</x:f>
        <x:v>0.42325671670000004</x:v>
      </x:c>
      <x:c r="H17" s="183" t="n">
        <x:f>'04_OPEX_Operativo'!F32</x:f>
        <x:v>0.7160847201</x:v>
      </x:c>
      <x:c r="I17" s="182" t="inlineStr">
        <x:is>
          <x:t xml:space="preserve">No se modifica.</x:t>
        </x:is>
      </x:c>
    </x:row>
    <x:row r="18">
      <x:c r="A18" s="182" t="inlineStr">
        <x:is>
          <x:t xml:space="preserve">G&amp;A / facilities</x:t>
        </x:is>
      </x:c>
      <x:c r="B18" s="182" t="inlineStr">
        <x:is>
          <x:t xml:space="preserve">Alquiler oficina / coworking</x:t>
        </x:is>
      </x:c>
      <x:c r="C18" s="182" t="inlineStr">
        <x:is>
          <x:t xml:space="preserve">Dentro de facilities fila 33</x:t>
        </x:is>
      </x:c>
      <x:c r="D18" s="182" t="inlineStr">
        <x:is>
          <x:t xml:space="preserve">45% de facilities</x:t>
        </x:is>
      </x:c>
      <x:c r="E18" s="183" t="n">
        <x:f>'04_OPEX_Operativo'!C33*45%</x:f>
        <x:v>0.08910000000000001</x:v>
      </x:c>
      <x:c r="F18" s="183" t="n">
        <x:f>'04_OPEX_Operativo'!D33*45%</x:f>
        <x:v>0.22522499999999998</x:v>
      </x:c>
      <x:c r="G18" s="183" t="n">
        <x:f>'04_OPEX_Operativo'!E33*45%</x:f>
        <x:v>0.40095000000000003</x:v>
      </x:c>
      <x:c r="H18" s="183" t="n">
        <x:f>'04_OPEX_Operativo'!F33*45%</x:f>
        <x:v>0.6335999999999999</x:v>
      </x:c>
      <x:c r="I18" s="182" t="inlineStr">
        <x:is>
          <x:t xml:space="preserve">Desglose interno de una bolsa ya incluida.</x:t>
        </x:is>
      </x:c>
    </x:row>
    <x:row r="19">
      <x:c r="A19" s="182" t="inlineStr">
        <x:is>
          <x:t xml:space="preserve">G&amp;A / facilities</x:t>
        </x:is>
      </x:c>
      <x:c r="B19" s="182" t="inlineStr">
        <x:is>
          <x:t xml:space="preserve">Suministros y servicios generales</x:t>
        </x:is>
      </x:c>
      <x:c r="C19" s="182" t="inlineStr">
        <x:is>
          <x:t xml:space="preserve">Dentro de facilities fila 33</x:t>
        </x:is>
      </x:c>
      <x:c r="D19" s="182" t="inlineStr">
        <x:is>
          <x:t xml:space="preserve">20% de facilities</x:t>
        </x:is>
      </x:c>
      <x:c r="E19" s="183" t="n">
        <x:f>'04_OPEX_Operativo'!C33*20%</x:f>
        <x:v>0.0396</x:v>
      </x:c>
      <x:c r="F19" s="183" t="n">
        <x:f>'04_OPEX_Operativo'!D33*20%</x:f>
        <x:v>0.1001</x:v>
      </x:c>
      <x:c r="G19" s="183" t="n">
        <x:f>'04_OPEX_Operativo'!E33*20%</x:f>
        <x:v>0.17820000000000003</x:v>
      </x:c>
      <x:c r="H19" s="183" t="n">
        <x:f>'04_OPEX_Operativo'!F33*20%</x:f>
        <x:v>0.2816</x:v>
      </x:c>
      <x:c r="I19" s="182" t="inlineStr">
        <x:is>
          <x:t xml:space="preserve">Electricidad, agua, limpieza, mantenimiento y servicios menores.</x:t>
        </x:is>
      </x:c>
    </x:row>
    <x:row r="20">
      <x:c r="A20" s="182" t="inlineStr">
        <x:is>
          <x:t xml:space="preserve">G&amp;A / facilities</x:t>
        </x:is>
      </x:c>
      <x:c r="B20" s="182" t="inlineStr">
        <x:is>
          <x:t xml:space="preserve">Comunicaciones, puestos y equipos</x:t>
        </x:is>
      </x:c>
      <x:c r="C20" s="182" t="inlineStr">
        <x:is>
          <x:t xml:space="preserve">Dentro de facilities fila 33</x:t>
        </x:is>
      </x:c>
      <x:c r="D20" s="182" t="inlineStr">
        <x:is>
          <x:t xml:space="preserve">20% de facilities</x:t>
        </x:is>
      </x:c>
      <x:c r="E20" s="183" t="n">
        <x:f>'04_OPEX_Operativo'!C33*20%</x:f>
        <x:v>0.0396</x:v>
      </x:c>
      <x:c r="F20" s="183" t="n">
        <x:f>'04_OPEX_Operativo'!D33*20%</x:f>
        <x:v>0.1001</x:v>
      </x:c>
      <x:c r="G20" s="183" t="n">
        <x:f>'04_OPEX_Operativo'!E33*20%</x:f>
        <x:v>0.17820000000000003</x:v>
      </x:c>
      <x:c r="H20" s="183" t="n">
        <x:f>'04_OPEX_Operativo'!F33*20%</x:f>
        <x:v>0.2816</x:v>
      </x:c>
      <x:c r="I20" s="182" t="inlineStr">
        <x:is>
          <x:t xml:space="preserve">Puestos, conectividad, telefonía y equipamiento de oficina.</x:t>
        </x:is>
      </x:c>
    </x:row>
    <x:row r="21">
      <x:c r="A21" s="182" t="inlineStr">
        <x:is>
          <x:t xml:space="preserve">G&amp;A / facilities</x:t>
        </x:is>
      </x:c>
      <x:c r="B21" s="182" t="inlineStr">
        <x:is>
          <x:t xml:space="preserve">Gastos de empresa y material menor</x:t>
        </x:is>
      </x:c>
      <x:c r="C21" s="182" t="inlineStr">
        <x:is>
          <x:t xml:space="preserve">Dentro de facilities fila 33</x:t>
        </x:is>
      </x:c>
      <x:c r="D21" s="182" t="inlineStr">
        <x:is>
          <x:t xml:space="preserve">15% de facilities</x:t>
        </x:is>
      </x:c>
      <x:c r="E21" s="183" t="n">
        <x:f>'04_OPEX_Operativo'!C33*15%</x:f>
        <x:v>0.0297</x:v>
      </x:c>
      <x:c r="F21" s="183" t="n">
        <x:f>'04_OPEX_Operativo'!D33*15%</x:f>
        <x:v>0.07507499999999999</x:v>
      </x:c>
      <x:c r="G21" s="183" t="n">
        <x:f>'04_OPEX_Operativo'!E33*15%</x:f>
        <x:v>0.13365</x:v>
      </x:c>
      <x:c r="H21" s="183" t="n">
        <x:f>'04_OPEX_Operativo'!F33*15%</x:f>
        <x:v>0.21119999999999997</x:v>
      </x:c>
      <x:c r="I21" s="182" t="inlineStr">
        <x:is>
          <x:t xml:space="preserve">Compras menores, mensajería, consumibles y soporte operativo.</x:t>
        </x:is>
      </x:c>
    </x:row>
    <x:row r="22">
      <x:c r="A22" s="182" t="inlineStr">
        <x:is>
          <x:t xml:space="preserve">G&amp;A</x:t>
        </x:is>
      </x:c>
      <x:c r="B22" s="182" t="inlineStr">
        <x:is>
          <x:t xml:space="preserve">Auditoría, asesores y soporte corporativo</x:t>
        </x:is>
      </x:c>
      <x:c r="C22" s="182" t="inlineStr">
        <x:is>
          <x:t xml:space="preserve">04_OPEX_Operativo fila 34</x:t>
        </x:is>
      </x:c>
      <x:c r="D22" s="182" t="inlineStr">
        <x:is>
          <x:t xml:space="preserve">Importe directo existente</x:t>
        </x:is>
      </x:c>
      <x:c r="E22" s="183" t="n">
        <x:f>'04_OPEX_Operativo'!C34</x:f>
        <x:v>0.14</x:v>
      </x:c>
      <x:c r="F22" s="183" t="n">
        <x:f>'04_OPEX_Operativo'!D34</x:f>
        <x:v>0.24</x:v>
      </x:c>
      <x:c r="G22" s="183" t="n">
        <x:f>'04_OPEX_Operativo'!E34</x:f>
        <x:v>0.35</x:v>
      </x:c>
      <x:c r="H22" s="183" t="n">
        <x:f>'04_OPEX_Operativo'!F34</x:f>
        <x:v>0.5</x:v>
      </x:c>
      <x:c r="I22" s="182" t="inlineStr">
        <x:is>
          <x:t xml:space="preserve">No se modifica.</x:t>
        </x:is>
      </x:c>
    </x:row>
    <x:row r="23">
      <x:c r="A23" s="182" t="inlineStr">
        <x:is>
          <x:t xml:space="preserve">G&amp;A</x:t>
        </x:is>
      </x:c>
      <x:c r="B23" s="182" t="inlineStr">
        <x:is>
          <x:t xml:space="preserve">Selección, formación y cultura operativa</x:t>
        </x:is>
      </x:c>
      <x:c r="C23" s="182" t="inlineStr">
        <x:is>
          <x:t xml:space="preserve">04_OPEX_Operativo fila 35</x:t>
        </x:is>
      </x:c>
      <x:c r="D23" s="182" t="inlineStr">
        <x:is>
          <x:t xml:space="preserve">Importe directo existente</x:t>
        </x:is>
      </x:c>
      <x:c r="E23" s="183" t="n">
        <x:f>'04_OPEX_Operativo'!C35</x:f>
        <x:v>0.12</x:v>
      </x:c>
      <x:c r="F23" s="183" t="n">
        <x:f>'04_OPEX_Operativo'!D35</x:f>
        <x:v>0.2575</x:v>
      </x:c>
      <x:c r="G23" s="183" t="n">
        <x:f>'04_OPEX_Operativo'!E35</x:f>
        <x:v>0.43500000000000005</x:v>
      </x:c>
      <x:c r="H23" s="183" t="n">
        <x:f>'04_OPEX_Operativo'!F35</x:f>
        <x:v>0.67</x:v>
      </x:c>
      <x:c r="I23" s="182" t="inlineStr">
        <x:is>
          <x:t xml:space="preserve">No se modifica.</x:t>
        </x:is>
      </x:c>
    </x:row>
    <x:row r="24">
      <x:c r="A24" s="182" t="inlineStr">
        <x:is>
          <x:t xml:space="preserve">G&amp;A</x:t>
        </x:is>
      </x:c>
      <x:c r="B24" s="182" t="inlineStr">
        <x:is>
          <x:t xml:space="preserve">Gobernanza, secretariado y accionarial</x:t>
        </x:is>
      </x:c>
      <x:c r="C24" s="182" t="inlineStr">
        <x:is>
          <x:t xml:space="preserve">04_OPEX_Operativo fila 36</x:t>
        </x:is>
      </x:c>
      <x:c r="D24" s="182" t="inlineStr">
        <x:is>
          <x:t xml:space="preserve">Importe directo existente</x:t>
        </x:is>
      </x:c>
      <x:c r="E24" s="183" t="n">
        <x:f>'04_OPEX_Operativo'!C36</x:f>
        <x:v>0.04</x:v>
      </x:c>
      <x:c r="F24" s="183" t="n">
        <x:f>'04_OPEX_Operativo'!D36</x:f>
        <x:v>0.08</x:v>
      </x:c>
      <x:c r="G24" s="183" t="n">
        <x:f>'04_OPEX_Operativo'!E36</x:f>
        <x:v>0.12</x:v>
      </x:c>
      <x:c r="H24" s="183" t="n">
        <x:f>'04_OPEX_Operativo'!F36</x:f>
        <x:v>0.18</x:v>
      </x:c>
      <x:c r="I24" s="182" t="inlineStr">
        <x:is>
          <x:t xml:space="preserve">No se modifica.</x:t>
        </x:is>
      </x:c>
    </x:row>
    <x:row r="25">
      <x:c r="A25" s="184" t="inlineStr">
        <x:is>
          <x:t xml:space="preserve">Control</x:t>
        </x:is>
      </x:c>
      <x:c r="B25" s="184" t="inlineStr">
        <x:is>
          <x:t xml:space="preserve">TOTAL G&amp;A detallado</x:t>
        </x:is>
      </x:c>
      <x:c r="C25" s="184" t="inlineStr">
        <x:is>
          <x:t xml:space="preserve">Suma filas anteriores</x:t>
        </x:is>
      </x:c>
      <x:c r="D25" s="184" t="inlineStr">
        <x:is>
          <x:t xml:space="preserve">Debe cuadrar con G&amp;A modelo</x:t>
        </x:is>
      </x:c>
      <x:c r="E25" s="178" t="n">
        <x:f>SUM(E16:E24)</x:f>
        <x:v>0.8267010840000001</x:v>
      </x:c>
      <x:c r="F25" s="178" t="n">
        <x:f>SUM(F16:F24)</x:f>
        <x:v>1.6296034192</x:v>
      </x:c>
      <x:c r="G25" s="178" t="n">
        <x:f>SUM(G16:G24)</x:f>
        <x:v>2.6392567167</x:v>
      </x:c>
      <x:c r="H25" s="178" t="n">
        <x:f>SUM(H16:H24)</x:f>
        <x:v>4.0540847201</x:v>
      </x:c>
      <x:c r="I25" s="184" t="inlineStr">
        <x:is>
          <x:t xml:space="preserve">Control contra 05_Detalle_OPEX fila 11.</x:t>
        </x:is>
      </x:c>
    </x:row>
    <x:row r="26">
      <x:c r="A26" s="185" t="inlineStr">
        <x:is>
          <x:t xml:space="preserve">Control</x:t>
        </x:is>
      </x:c>
      <x:c r="B26" s="185" t="inlineStr">
        <x:is>
          <x:t xml:space="preserve">Diferencia contra G&amp;A modelo</x:t>
        </x:is>
      </x:c>
      <x:c r="C26" s="185" t="inlineStr">
        <x:is>
          <x:t xml:space="preserve">Control</x:t>
        </x:is>
      </x:c>
      <x:c r="D26" s="185" t="inlineStr">
        <x:is>
          <x:t xml:space="preserve">Debe ser cero</x:t>
        </x:is>
      </x:c>
      <x:c r="E26" s="186" t="n">
        <x:f>E25-'05_Detalle_OPEX'!B11</x:f>
        <x:v>1.1102230246251565e-16</x:v>
      </x:c>
      <x:c r="F26" s="186" t="n">
        <x:f>F25-'05_Detalle_OPEX'!C11</x:f>
        <x:v>0</x:v>
      </x:c>
      <x:c r="G26" s="186" t="n">
        <x:f>G25-'05_Detalle_OPEX'!D11</x:f>
        <x:v>-4.440892098500626e-16</x:v>
      </x:c>
      <x:c r="H26" s="186" t="n">
        <x:f>H25-'05_Detalle_OPEX'!E11</x:f>
        <x:v>0</x:v>
      </x:c>
      <x:c r="I26" s="185" t="inlineStr">
        <x:is>
          <x:t xml:space="preserve">Si no es cero, hay error de mapeo.</x:t>
        </x:is>
      </x:c>
    </x:row>
    <x:row r="27">
      <x:c r="A27" s="182" t="inlineStr">
        <x:is>
          <x:t xml:space="preserve">GTM / representación</x:t>
        </x:is>
      </x:c>
      <x:c r="B27" s="182" t="inlineStr">
        <x:is>
          <x:t xml:space="preserve">Viajes y desplazamientos comerciales</x:t>
        </x:is>
      </x:c>
      <x:c r="C27" s="182" t="inlineStr">
        <x:is>
          <x:t xml:space="preserve">Dentro de GTM fila 26</x:t>
        </x:is>
      </x:c>
      <x:c r="D27" s="182" t="inlineStr">
        <x:is>
          <x:t xml:space="preserve">30% de demostradores/jornadas</x:t>
        </x:is>
      </x:c>
      <x:c r="E27" s="183" t="n">
        <x:f>'04_OPEX_Operativo'!C26*30%</x:f>
        <x:v>0.027</x:v>
      </x:c>
      <x:c r="F27" s="183" t="n">
        <x:f>'04_OPEX_Operativo'!D26*30%</x:f>
        <x:v>0.075</x:v>
      </x:c>
      <x:c r="G27" s="183" t="n">
        <x:f>'04_OPEX_Operativo'!E26*30%</x:f>
        <x:v>0.135</x:v>
      </x:c>
      <x:c r="H27" s="183" t="n">
        <x:f>'04_OPEX_Operativo'!F26*30%</x:f>
        <x:v>0.21</x:v>
      </x:c>
      <x:c r="I27" s="182" t="inlineStr">
        <x:is>
          <x:t xml:space="preserve">No se suma de nuevo al BP.</x:t>
        </x:is>
      </x:c>
    </x:row>
    <x:row r="28">
      <x:c r="A28" s="182" t="inlineStr">
        <x:is>
          <x:t xml:space="preserve">GTM / representación</x:t>
        </x:is>
      </x:c>
      <x:c r="B28" s="182" t="inlineStr">
        <x:is>
          <x:t xml:space="preserve">Representación institucional, ferias y jornadas</x:t>
        </x:is>
      </x:c>
      <x:c r="C28" s="182" t="inlineStr">
        <x:is>
          <x:t xml:space="preserve">Dentro de GTM fila 26</x:t>
        </x:is>
      </x:c>
      <x:c r="D28" s="182" t="inlineStr">
        <x:is>
          <x:t xml:space="preserve">45% de demostradores/jornadas</x:t>
        </x:is>
      </x:c>
      <x:c r="E28" s="183" t="n">
        <x:f>'04_OPEX_Operativo'!C26*45%</x:f>
        <x:v>0.0405</x:v>
      </x:c>
      <x:c r="F28" s="183" t="n">
        <x:f>'04_OPEX_Operativo'!D26*45%</x:f>
        <x:v>0.1125</x:v>
      </x:c>
      <x:c r="G28" s="183" t="n">
        <x:f>'04_OPEX_Operativo'!E26*45%</x:f>
        <x:v>0.2025</x:v>
      </x:c>
      <x:c r="H28" s="183" t="n">
        <x:f>'04_OPEX_Operativo'!F26*45%</x:f>
        <x:v>0.315</x:v>
      </x:c>
      <x:c r="I28" s="182" t="inlineStr">
        <x:is>
          <x:t xml:space="preserve">No se suma de nuevo al BP.</x:t>
        </x:is>
      </x:c>
    </x:row>
    <x:row r="29">
      <x:c r="A29" s="182" t="inlineStr">
        <x:is>
          <x:t xml:space="preserve">GTM / representación</x:t>
        </x:is>
      </x:c>
      <x:c r="B29" s="182" t="inlineStr">
        <x:is>
          <x:t xml:space="preserve">Comidas y reuniones comerciales</x:t>
        </x:is>
      </x:c>
      <x:c r="C29" s="182" t="inlineStr">
        <x:is>
          <x:t xml:space="preserve">Dentro de GTM fila 26</x:t>
        </x:is>
      </x:c>
      <x:c r="D29" s="182" t="inlineStr">
        <x:is>
          <x:t xml:space="preserve">15% de demostradores/jornadas</x:t>
        </x:is>
      </x:c>
      <x:c r="E29" s="183" t="n">
        <x:f>'04_OPEX_Operativo'!C26*15%</x:f>
        <x:v>0.0135</x:v>
      </x:c>
      <x:c r="F29" s="183" t="n">
        <x:f>'04_OPEX_Operativo'!D26*15%</x:f>
        <x:v>0.0375</x:v>
      </x:c>
      <x:c r="G29" s="183" t="n">
        <x:f>'04_OPEX_Operativo'!E26*15%</x:f>
        <x:v>0.0675</x:v>
      </x:c>
      <x:c r="H29" s="183" t="n">
        <x:f>'04_OPEX_Operativo'!F26*15%</x:f>
        <x:v>0.105</x:v>
      </x:c>
      <x:c r="I29" s="182" t="inlineStr">
        <x:is>
          <x:t xml:space="preserve">No se suma de nuevo al BP.</x:t>
        </x:is>
      </x:c>
    </x:row>
    <x:row r="30">
      <x:c r="A30" s="182" t="inlineStr">
        <x:is>
          <x:t xml:space="preserve">GTM / representación</x:t>
        </x:is>
      </x:c>
      <x:c r="B30" s="182" t="inlineStr">
        <x:is>
          <x:t xml:space="preserve">Contingencia comercial menor</x:t>
        </x:is>
      </x:c>
      <x:c r="C30" s="182" t="inlineStr">
        <x:is>
          <x:t xml:space="preserve">Dentro de GTM fila 26</x:t>
        </x:is>
      </x:c>
      <x:c r="D30" s="182" t="inlineStr">
        <x:is>
          <x:t xml:space="preserve">10% de demostradores/jornadas</x:t>
        </x:is>
      </x:c>
      <x:c r="E30" s="183" t="n">
        <x:f>'04_OPEX_Operativo'!C26*10%</x:f>
        <x:v>0.009</x:v>
      </x:c>
      <x:c r="F30" s="183" t="n">
        <x:f>'04_OPEX_Operativo'!D26*10%</x:f>
        <x:v>0.025</x:v>
      </x:c>
      <x:c r="G30" s="183" t="n">
        <x:f>'04_OPEX_Operativo'!E26*10%</x:f>
        <x:v>0.045000000000000005</x:v>
      </x:c>
      <x:c r="H30" s="183" t="n">
        <x:f>'04_OPEX_Operativo'!F26*10%</x:f>
        <x:v>0.06999999999999999</x:v>
      </x:c>
      <x:c r="I30" s="182" t="inlineStr">
        <x:is>
          <x:t xml:space="preserve">No se suma de nuevo al BP.</x:t>
        </x:is>
      </x:c>
    </x:row>
    <x:row r="31">
      <x:c r="A31" s="182" t="inlineStr">
        <x:is>
          <x:t xml:space="preserve">GTM / partners</x:t>
        </x:is>
      </x:c>
      <x:c r="B31" s="182" t="inlineStr">
        <x:is>
          <x:t xml:space="preserve">Materiales y soporte a partners</x:t>
        </x:is>
      </x:c>
      <x:c r="C31" s="182" t="inlineStr">
        <x:is>
          <x:t xml:space="preserve">Dentro de GTM fila 28</x:t>
        </x:is>
      </x:c>
      <x:c r="D31" s="182" t="inlineStr">
        <x:is>
          <x:t xml:space="preserve">70% de materiales/sesiones partners</x:t>
        </x:is>
      </x:c>
      <x:c r="E31" s="183" t="n">
        <x:f>'04_OPEX_Operativo'!C28*70%</x:f>
        <x:v>0.08049999999999999</x:v>
      </x:c>
      <x:c r="F31" s="183" t="n">
        <x:f>'04_OPEX_Operativo'!D28*70%</x:f>
        <x:v>0.1435</x:v>
      </x:c>
      <x:c r="G31" s="183" t="n">
        <x:f>'04_OPEX_Operativo'!E28*70%</x:f>
        <x:v>0.2065</x:v>
      </x:c>
      <x:c r="H31" s="183" t="n">
        <x:f>'04_OPEX_Operativo'!F28*70%</x:f>
        <x:v>0.26949999999999996</x:v>
      </x:c>
      <x:c r="I31" s="182" t="inlineStr">
        <x:is>
          <x:t xml:space="preserve">No se suma de nuevo al BP.</x:t>
        </x:is>
      </x:c>
    </x:row>
    <x:row r="32">
      <x:c r="A32" s="182" t="inlineStr">
        <x:is>
          <x:t xml:space="preserve">GTM / partners</x:t>
        </x:is>
      </x:c>
      <x:c r="B32" s="182" t="inlineStr">
        <x:is>
          <x:t xml:space="preserve">Campañas y sesiones con partners</x:t>
        </x:is>
      </x:c>
      <x:c r="C32" s="182" t="inlineStr">
        <x:is>
          <x:t xml:space="preserve">Dentro de GTM fila 28</x:t>
        </x:is>
      </x:c>
      <x:c r="D32" s="182" t="inlineStr">
        <x:is>
          <x:t xml:space="preserve">30% de materiales/sesiones partners</x:t>
        </x:is>
      </x:c>
      <x:c r="E32" s="183" t="n">
        <x:f>'04_OPEX_Operativo'!C28*30%</x:f>
        <x:v>0.034499999999999996</x:v>
      </x:c>
      <x:c r="F32" s="183" t="n">
        <x:f>'04_OPEX_Operativo'!D28*30%</x:f>
        <x:v>0.06149999999999999</x:v>
      </x:c>
      <x:c r="G32" s="183" t="n">
        <x:f>'04_OPEX_Operativo'!E28*30%</x:f>
        <x:v>0.0885</x:v>
      </x:c>
      <x:c r="H32" s="183" t="n">
        <x:f>'04_OPEX_Operativo'!F28*30%</x:f>
        <x:v>0.11549999999999998</x:v>
      </x:c>
      <x:c r="I32" s="182" t="inlineStr">
        <x:is>
          <x:t xml:space="preserve">No se suma de nuevo al BP.</x:t>
        </x:is>
      </x:c>
    </x:row>
    <x:row r="33">
      <x:c r="A33" s="182" t="inlineStr">
        <x:is>
          <x:t xml:space="preserve">Control</x:t>
        </x:is>
      </x:c>
      <x:c r="B33" s="182" t="inlineStr">
        <x:is>
          <x:t xml:space="preserve">TOTAL representación / GTM detallado</x:t>
        </x:is>
      </x:c>
      <x:c r="C33" s="182" t="inlineStr">
        <x:is>
          <x:t xml:space="preserve">Suma GTM detallado</x:t>
        </x:is>
      </x:c>
      <x:c r="D33" s="182" t="inlineStr">
        <x:is>
          <x:t xml:space="preserve">Debe cuadrar con filas 26 y 28</x:t>
        </x:is>
      </x:c>
      <x:c r="E33" s="183" t="n">
        <x:f>SUM(E27:E32)</x:f>
        <x:v>0.205</x:v>
      </x:c>
      <x:c r="F33" s="183" t="n">
        <x:f>SUM(F27:F32)</x:f>
        <x:v>0.45499999999999996</x:v>
      </x:c>
      <x:c r="G33" s="183" t="n">
        <x:f>SUM(G27:G32)</x:f>
        <x:v>0.745</x:v>
      </x:c>
      <x:c r="H33" s="183" t="n">
        <x:f>SUM(H27:H32)</x:f>
        <x:v>1.085</x:v>
      </x:c>
      <x:c r="I33" s="182" t="inlineStr">
        <x:is>
          <x:t xml:space="preserve">Control contra OPEX operativo.</x:t>
        </x:is>
      </x:c>
    </x:row>
    <x:row r="34">
      <x:c r="A34" s="184" t="inlineStr">
        <x:is>
          <x:t xml:space="preserve">Control</x:t>
        </x:is>
      </x:c>
      <x:c r="B34" s="184" t="inlineStr">
        <x:is>
          <x:t xml:space="preserve">Diferencia contra GTM fuente</x:t>
        </x:is>
      </x:c>
      <x:c r="C34" s="184" t="inlineStr">
        <x:is>
          <x:t xml:space="preserve">Control</x:t>
        </x:is>
      </x:c>
      <x:c r="D34" s="184" t="inlineStr">
        <x:is>
          <x:t xml:space="preserve">Debe ser cero</x:t>
        </x:is>
      </x:c>
      <x:c r="E34" s="178" t="n">
        <x:f>E33-('04_OPEX_Operativo'!C26+'04_OPEX_Operativo'!C28)</x:f>
        <x:v>0</x:v>
      </x:c>
      <x:c r="F34" s="178" t="n">
        <x:f>F33-('04_OPEX_Operativo'!D26+'04_OPEX_Operativo'!D28)</x:f>
        <x:v>0</x:v>
      </x:c>
      <x:c r="G34" s="178" t="n">
        <x:f>G33-('04_OPEX_Operativo'!E26+'04_OPEX_Operativo'!E28)</x:f>
        <x:v>0</x:v>
      </x:c>
      <x:c r="H34" s="178" t="n">
        <x:f>H33-('04_OPEX_Operativo'!F26+'04_OPEX_Operativo'!F28)</x:f>
        <x:v>0</x:v>
      </x:c>
      <x:c r="I34" s="184" t="inlineStr">
        <x:is>
          <x:t xml:space="preserve">Si no es cero, hay error de mapeo.</x:t>
        </x:is>
      </x:c>
    </x:row>
    <x:row r="35">
      <x:c r="A35" s="185" t="n"/>
      <x:c r="B35" s="185" t="n"/>
      <x:c r="C35" s="185" t="n"/>
      <x:c r="D35" s="185" t="n"/>
      <x:c r="E35" s="186" t="n"/>
      <x:c r="F35" s="186" t="n"/>
      <x:c r="G35" s="186" t="n"/>
      <x:c r="H35" s="186" t="n"/>
      <x:c r="I35" s="185" t="n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4" customWidth="1"/>
    <x:col min="3" max="3" width="14" customWidth="1"/>
    <x:col min="4" max="4" width="14" customWidth="1"/>
    <x:col min="5" max="5" width="14" customWidth="1"/>
    <x:col min="6" max="6" width="34" customWidth="1"/>
    <x:col min="7" max="7" width="38" customWidth="1"/>
    <x:col min="8" max="8" width="38" customWidth="1"/>
  </x:cols>
  <x:sheetData>
    <x:row r="1">
      <x:c r="A1" s="107" t="inlineStr">
        <x:is>
          <x:t xml:space="preserve">05 Detalle de OPEX</x:t>
        </x:is>
      </x:c>
      <x:c r="B1" s="108" t="str"/>
      <x:c r="C1" s="108" t="str"/>
      <x:c r="D1" s="108" t="str"/>
      <x:c r="E1" s="108" t="str"/>
      <x:c r="F1" s="109" t="str"/>
      <x:c r="G1" s="109" t="str"/>
      <x:c r="H1" s="110" t="str"/>
    </x:row>
    <x:row r="2">
      <x:c r="A2" s="111" t="inlineStr">
        <x:is>
          <x:t xml:space="preserve">Roll-up de OPEX por categoria. EUR M.</x:t>
        </x:is>
      </x:c>
      <x:c r="B2" s="112" t="str"/>
      <x:c r="C2" s="112" t="str"/>
      <x:c r="D2" s="112" t="str"/>
      <x:c r="E2" s="112" t="str"/>
      <x:c r="F2" s="112" t="str"/>
      <x:c r="G2" s="112" t="str"/>
      <x:c r="H2" s="113" t="str"/>
    </x:row>
    <x:row r="3">
      <x:c r="A3" s="13" t="str"/>
      <x:c r="B3" s="14" t="str"/>
      <x:c r="C3" s="14" t="str"/>
      <x:c r="D3" s="14" t="str"/>
      <x:c r="E3" s="14" t="str"/>
      <x:c r="F3" s="14" t="str"/>
      <x:c r="G3" s="14" t="str"/>
      <x:c r="H3" s="15" t="str"/>
    </x:row>
    <x:row r="4">
      <x:c r="A4" s="13" t="n"/>
      <x:c r="B4" s="14" t="n"/>
      <x:c r="C4" s="14" t="n"/>
      <x:c r="D4" s="14" t="n"/>
      <x:c r="E4" s="14" t="n"/>
      <x:c r="F4" s="14" t="n"/>
      <x:c r="G4" s="14" t="n"/>
      <x:c r="H4" s="15" t="n"/>
    </x:row>
    <x:row r="5">
      <x:c r="A5" s="114" t="inlineStr">
        <x:is>
          <x:t xml:space="preserve">Categoria</x:t>
        </x:is>
      </x:c>
      <x:c r="B5" s="115" t="inlineStr">
        <x:is>
          <x:t xml:space="preserve">2026/27</x:t>
        </x:is>
      </x:c>
      <x:c r="C5" s="115" t="inlineStr">
        <x:is>
          <x:t xml:space="preserve">2028</x:t>
        </x:is>
      </x:c>
      <x:c r="D5" s="115" t="inlineStr">
        <x:is>
          <x:t xml:space="preserve">2029</x:t>
        </x:is>
      </x:c>
      <x:c r="E5" s="115" t="inlineStr">
        <x:is>
          <x:t xml:space="preserve">2030</x:t>
        </x:is>
      </x:c>
      <x:c r="F5" s="115" t="inlineStr">
        <x:is>
          <x:t xml:space="preserve">Driver / detalle</x:t>
        </x:is>
      </x:c>
      <x:c r="G5" s="115" t="inlineStr">
        <x:is>
          <x:t xml:space="preserve">Notas</x:t>
        </x:is>
      </x:c>
      <x:c r="H5" s="129" t="inlineStr">
        <x:is>
          <x:t xml:space="preserve">Fuente</x:t>
        </x:is>
      </x:c>
    </x:row>
    <x:row r="6">
      <x:c r="A6" s="13" t="inlineStr">
        <x:is>
          <x:t xml:space="preserve">Personal</x:t>
        </x:is>
      </x:c>
      <x:c r="B6" s="163" t="n">
        <x:f>'03_Detalle_Personal'!H38</x:f>
        <x:v>2.4195</x:v>
      </x:c>
      <x:c r="C6" s="163" t="n">
        <x:f>'03_Detalle_Personal'!I38</x:f>
        <x:v>6.057430000000001</x:v>
      </x:c>
      <x:c r="D6" s="163" t="n">
        <x:f>'03_Detalle_Personal'!J38</x:f>
        <x:v>10.8593724</x:v>
      </x:c>
      <x:c r="E6" s="163" t="n">
        <x:f>'03_Detalle_Personal'!K38</x:f>
        <x:v>17.525155625999997</x:v>
      </x:c>
      <x:c r="F6" s="14" t="inlineStr">
        <x:is>
          <x:t xml:space="preserve">Perfiles x FTE x sueldo creciente</x:t>
        </x:is>
      </x:c>
      <x:c r="G6" s="14" t="inlineStr">
        <x:is>
          <x:t xml:space="preserve">Incluye coste empresa; desglose SS en 03b</x:t>
        </x:is>
      </x:c>
      <x:c r="H6" s="15" t="inlineStr">
        <x:is>
          <x:t xml:space="preserve">03_Detalle_Personal / 03b_Coste_Empresa_SS</x:t>
        </x:is>
      </x:c>
    </x:row>
    <x:row r="7">
      <x:c r="A7" s="13" t="inlineStr">
        <x:is>
          <x:t xml:space="preserve">Producto y Tecnologia</x:t>
        </x:is>
      </x:c>
      <x:c r="B7" s="163" t="n">
        <x:f>SUMIF('04_OPEX_Operativo'!$A$6:$A$37,"Producto y Tecnologia",'04_OPEX_Operativo'!C$6:C$37)</x:f>
        <x:v>0.8152021680000001</x:v>
      </x:c>
      <x:c r="C7" s="163" t="n">
        <x:f>SUMIF('04_OPEX_Operativo'!$A$6:$A$37,"Producto y Tecnologia",'04_OPEX_Operativo'!D$6:D$37)</x:f>
        <x:v>1.8093835050666665</x:v>
      </x:c>
      <x:c r="D7" s="163" t="n">
        <x:f>SUMIF('04_OPEX_Operativo'!$A$6:$A$37,"Producto y Tecnologia",'04_OPEX_Operativo'!E$6:E$37)</x:f>
        <x:v>3.197500100066667</x:v>
      </x:c>
      <x:c r="E7" s="163" t="n">
        <x:f>SUMIF('04_OPEX_Operativo'!$A$6:$A$37,"Producto y Tecnologia",'04_OPEX_Operativo'!F$6:F$37)</x:f>
        <x:v>5.260716106866666</x:v>
      </x:c>
      <x:c r="F7" s="14" t="inlineStr">
        <x:is>
          <x:t xml:space="preserve">Cloud + seguridad + IA/API + QA</x:t>
        </x:is>
      </x:c>
      <x:c r="G7" s="14" t="inlineStr">
        <x:is>
          <x:t xml:space="preserve">Detalle no-personal</x:t>
        </x:is>
      </x:c>
      <x:c r="H7" s="15" t="inlineStr">
        <x:is>
          <x:t xml:space="preserve">04_OPEX_Operativo</x:t>
        </x:is>
      </x:c>
    </x:row>
    <x:row r="8">
      <x:c r="A8" s="13" t="inlineStr">
        <x:is>
          <x:t xml:space="preserve">Operaciones / Delivery</x:t>
        </x:is>
      </x:c>
      <x:c r="B8" s="163" t="n">
        <x:f>SUMIF('04_OPEX_Operativo'!$A$6:$A$37,"Operaciones / Delivery",'04_OPEX_Operativo'!C$6:C$37)</x:f>
        <x:v>0.7882681120000001</x:v>
      </x:c>
      <x:c r="C8" s="163" t="n">
        <x:f>SUMIF('04_OPEX_Operativo'!$A$6:$A$37,"Operaciones / Delivery",'04_OPEX_Operativo'!D$6:D$37)</x:f>
        <x:v>1.6605545589333333</x:v>
      </x:c>
      <x:c r="D8" s="163" t="n">
        <x:f>SUMIF('04_OPEX_Operativo'!$A$6:$A$37,"Operaciones / Delivery",'04_OPEX_Operativo'!E$6:E$37)</x:f>
        <x:v>2.6065089556000003</x:v>
      </x:c>
      <x:c r="E8" s="163" t="n">
        <x:f>SUMIF('04_OPEX_Operativo'!$A$6:$A$37,"Operaciones / Delivery",'04_OPEX_Operativo'!F$6:F$37)</x:f>
        <x:v>3.8019462934666666</x:v>
      </x:c>
      <x:c r="F8" s="14" t="inlineStr">
        <x:is>
          <x:t xml:space="preserve">IoT + QA + training + field</x:t>
        </x:is>
      </x:c>
      <x:c r="G8" s="14" t="inlineStr">
        <x:is>
          <x:t xml:space="preserve">Detalle no-personal</x:t>
        </x:is>
      </x:c>
      <x:c r="H8" s="15" t="inlineStr">
        <x:is>
          <x:t xml:space="preserve">04_OPEX_Operativo</x:t>
        </x:is>
      </x:c>
    </x:row>
    <x:row r="9">
      <x:c r="A9" s="13" t="inlineStr">
        <x:is>
          <x:t xml:space="preserve">Customer Success / Data</x:t>
        </x:is>
      </x:c>
      <x:c r="B9" s="163" t="n">
        <x:f>SUMIF('04_OPEX_Operativo'!$A$6:$A$37,"Customer Success / Data",'04_OPEX_Operativo'!C$6:C$37)</x:f>
        <x:v>0.24855054199999999</x:v>
      </x:c>
      <x:c r="C9" s="163" t="n">
        <x:f>SUMIF('04_OPEX_Operativo'!$A$6:$A$37,"Customer Success / Data",'04_OPEX_Operativo'!D$6:D$37)</x:f>
        <x:v>0.49522504293333336</x:v>
      </x:c>
      <x:c r="D9" s="163" t="n">
        <x:f>SUMIF('04_OPEX_Operativo'!$A$6:$A$37,"Customer Success / Data",'04_OPEX_Operativo'!E$6:E$37)</x:f>
        <x:v>0.8453250250166667</x:v>
      </x:c>
      <x:c r="E9" s="163" t="n">
        <x:f>SUMIF('04_OPEX_Operativo'!$A$6:$A$37,"Customer Success / Data",'04_OPEX_Operativo'!F$6:F$37)</x:f>
        <x:v>1.36501236005</x:v>
      </x:c>
      <x:c r="F9" s="14" t="inlineStr">
        <x:is>
          <x:t xml:space="preserve">Soporte + datos + SLA</x:t>
        </x:is>
      </x:c>
      <x:c r="G9" s="14" t="inlineStr">
        <x:is>
          <x:t xml:space="preserve">Detalle no-personal</x:t>
        </x:is>
      </x:c>
      <x:c r="H9" s="15" t="inlineStr">
        <x:is>
          <x:t xml:space="preserve">04_OPEX_Operativo</x:t>
        </x:is>
      </x:c>
    </x:row>
    <x:row r="10">
      <x:c r="A10" s="13" t="inlineStr">
        <x:is>
          <x:t xml:space="preserve">GTM / Marketing</x:t>
        </x:is>
      </x:c>
      <x:c r="B10" s="163" t="n">
        <x:f>SUMIF('04_OPEX_Operativo'!$A$6:$A$37,"GTM / Marketing",'04_OPEX_Operativo'!C$6:C$37)</x:f>
        <x:v>0.7123405600000001</x:v>
      </x:c>
      <x:c r="C10" s="163" t="n">
        <x:f>SUMIF('04_OPEX_Operativo'!$A$6:$A$37,"GTM / Marketing",'04_OPEX_Operativo'!D$6:D$37)</x:f>
        <x:v>2.003356128</x:v>
      </x:c>
      <x:c r="D10" s="163" t="n">
        <x:f>SUMIF('04_OPEX_Operativo'!$A$6:$A$37,"GTM / Marketing",'04_OPEX_Operativo'!E$6:E$37)</x:f>
        <x:v>3.6653781113333337</x:v>
      </x:c>
      <x:c r="E10" s="163" t="n">
        <x:f>SUMIF('04_OPEX_Operativo'!$A$6:$A$37,"GTM / Marketing",'04_OPEX_Operativo'!F$6:F$37)</x:f>
        <x:v>6.391564800666666</x:v>
      </x:c>
      <x:c r="F10" s="14" t="inlineStr">
        <x:is>
          <x:t xml:space="preserve">Marca + canal + eventos + CRM</x:t>
        </x:is>
      </x:c>
      <x:c r="G10" s="14" t="inlineStr">
        <x:is>
          <x:t xml:space="preserve">Detalle no-personal</x:t>
        </x:is>
      </x:c>
      <x:c r="H10" s="15" t="inlineStr">
        <x:is>
          <x:t xml:space="preserve">04_OPEX_Operativo</x:t>
        </x:is>
      </x:c>
    </x:row>
    <x:row r="11">
      <x:c r="A11" s="13" t="inlineStr">
        <x:is>
          <x:t xml:space="preserve">G&amp;A</x:t>
        </x:is>
      </x:c>
      <x:c r="B11" s="163" t="n">
        <x:f>SUMIF('04_OPEX_Operativo'!$A$6:$A$37,"G&amp;A",'04_OPEX_Operativo'!C$6:C$37)</x:f>
        <x:v>0.826701084</x:v>
      </x:c>
      <x:c r="C11" s="163" t="n">
        <x:f>SUMIF('04_OPEX_Operativo'!$A$6:$A$37,"G&amp;A",'04_OPEX_Operativo'!D$6:D$37)</x:f>
        <x:v>1.6296034192</x:v>
      </x:c>
      <x:c r="D11" s="163" t="n">
        <x:f>SUMIF('04_OPEX_Operativo'!$A$6:$A$37,"G&amp;A",'04_OPEX_Operativo'!E$6:E$37)</x:f>
        <x:v>2.6392567167000003</x:v>
      </x:c>
      <x:c r="E11" s="163" t="n">
        <x:f>SUMIF('04_OPEX_Operativo'!$A$6:$A$37,"G&amp;A",'04_OPEX_Operativo'!F$6:F$37)</x:f>
        <x:v>4.0540847201</x:v>
      </x:c>
      <x:c r="F11" s="14" t="inlineStr">
        <x:is>
          <x:t xml:space="preserve">Legal + finanzas + oficina + governance</x:t>
        </x:is>
      </x:c>
      <x:c r="G11" s="14" t="inlineStr">
        <x:is>
          <x:t xml:space="preserve">Detalle no-personal; ver 05b_Gastos_GA_Detalle</x:t>
        </x:is>
      </x:c>
      <x:c r="H11" s="15" t="inlineStr">
        <x:is>
          <x:t xml:space="preserve">04_OPEX_Operativo / 05b_Gastos_GA_Detalle</x:t>
        </x:is>
      </x:c>
    </x:row>
    <x:row r="12">
      <x:c r="A12" s="13" t="inlineStr">
        <x:is>
          <x:t xml:space="preserve">Reserva / contingencia</x:t>
        </x:is>
      </x:c>
      <x:c r="B12" s="163" t="n">
        <x:f>SUMIF('04_OPEX_Operativo'!$A$6:$A$37,"Reserva / contingencia",'04_OPEX_Operativo'!C$6:C$37)</x:f>
        <x:v>0.13564249864</x:v>
      </x:c>
      <x:c r="C12" s="163" t="n">
        <x:f>SUMIF('04_OPEX_Operativo'!$A$6:$A$37,"Reserva / contingencia",'04_OPEX_Operativo'!D$6:D$37)</x:f>
        <x:v>0.30392490616533335</x:v>
      </x:c>
      <x:c r="D12" s="163" t="n">
        <x:f>SUMIF('04_OPEX_Operativo'!$A$6:$A$37,"Reserva / contingencia",'04_OPEX_Operativo'!E$6:E$37)</x:f>
        <x:v>0.5181587563486667</x:v>
      </x:c>
      <x:c r="E12" s="163" t="n">
        <x:f>SUMIF('04_OPEX_Operativo'!$A$6:$A$37,"Reserva / contingencia",'04_OPEX_Operativo'!F$6:F$37)</x:f>
        <x:v>0.8349329712460002</x:v>
      </x:c>
      <x:c r="F12" s="14" t="inlineStr">
        <x:is>
          <x:t xml:space="preserve">4% subtotal OPEX operativo</x:t>
        </x:is>
      </x:c>
      <x:c r="G12" s="14" t="inlineStr">
        <x:is>
          <x:t xml:space="preserve">Contingencia</x:t>
        </x:is>
      </x:c>
      <x:c r="H12" s="15" t="inlineStr">
        <x:is>
          <x:t xml:space="preserve">04_OPEX_Operativo</x:t>
        </x:is>
      </x:c>
    </x:row>
    <x:row r="13">
      <x:c r="A13" s="161" t="inlineStr">
        <x:is>
          <x:t xml:space="preserve">OPEX no-personal</x:t>
        </x:is>
      </x:c>
      <x:c r="B13" s="154" t="n">
        <x:f>SUM(B7:B12)</x:f>
        <x:v>3.5267049646400004</x:v>
      </x:c>
      <x:c r="C13" s="154" t="n">
        <x:f>SUM(C7:C12)</x:f>
        <x:v>7.9020475602986675</x:v>
      </x:c>
      <x:c r="D13" s="154" t="n">
        <x:f>SUM(D7:D12)</x:f>
        <x:v>13.472127665065335</x:v>
      </x:c>
      <x:c r="E13" s="154" t="n">
        <x:f>SUM(E7:E12)</x:f>
        <x:v>21.708257252396</x:v>
      </x:c>
      <x:c r="F13" s="154" t="inlineStr">
        <x:is>
          <x:t xml:space="preserve">SUM categorias no-personal</x:t>
        </x:is>
      </x:c>
      <x:c r="G13" s="154" t="inlineStr">
        <x:is>
          <x:t xml:space="preserve">Subtotal</x:t>
        </x:is>
      </x:c>
      <x:c r="H13" s="162" t="str"/>
    </x:row>
    <x:row r="14">
      <x:c r="A14" s="161" t="inlineStr">
        <x:is>
          <x:t xml:space="preserve">TOTAL OPEX</x:t>
        </x:is>
      </x:c>
      <x:c r="B14" s="154" t="n">
        <x:f>B6+B13</x:f>
        <x:v>5.946204964640001</x:v>
      </x:c>
      <x:c r="C14" s="154" t="n">
        <x:f>C6+C13</x:f>
        <x:v>13.95947756029867</x:v>
      </x:c>
      <x:c r="D14" s="154" t="n">
        <x:f>D6+D13</x:f>
        <x:v>24.331500065065335</x:v>
      </x:c>
      <x:c r="E14" s="154" t="n">
        <x:f>E6+E13</x:f>
        <x:v>39.233412878395995</x:v>
      </x:c>
      <x:c r="F14" s="154" t="inlineStr">
        <x:is>
          <x:t xml:space="preserve">Personal + no-personal</x:t>
        </x:is>
      </x:c>
      <x:c r="G14" s="154" t="inlineStr">
        <x:is>
          <x:t xml:space="preserve">Alimenta cuenta de resultados</x:t>
        </x:is>
      </x:c>
      <x:c r="H14" s="162" t="str"/>
    </x:row>
    <x:row r="15">
      <x:c r="A15" s="13" t="inlineStr">
        <x:is>
          <x:t xml:space="preserve">OPEX / ingresos</x:t>
        </x:is>
      </x:c>
      <x:c r="B15" s="166" t="n">
        <x:f>IF('02_Detalle_Ingresos'!B42=0,0,B14/'02_Detalle_Ingresos'!B42)</x:f>
        <x:v>0.6215310506711176</x:v>
      </x:c>
      <x:c r="C15" s="166" t="n">
        <x:f>IF('02_Detalle_Ingresos'!C42=0,0,C14/'02_Detalle_Ingresos'!C42)</x:f>
        <x:v>0.31821690451106466</x:v>
      </x:c>
      <x:c r="D15" s="166" t="n">
        <x:f>IF('02_Detalle_Ingresos'!D42=0,0,D14/'02_Detalle_Ingresos'!D42)</x:f>
        <x:v>0.2576973321077685</x:v>
      </x:c>
      <x:c r="E15" s="166" t="n">
        <x:f>IF('02_Detalle_Ingresos'!E42=0,0,E14/'02_Detalle_Ingresos'!E42)</x:f>
        <x:v>0.2043106413493434</x:v>
      </x:c>
      <x:c r="F15" s="14" t="inlineStr">
        <x:is>
          <x:t xml:space="preserve">Total OPEX / ingresos</x:t>
        </x:is>
      </x:c>
      <x:c r="G15" s="14" t="inlineStr">
        <x:is>
          <x:t xml:space="preserve">Ratio operativo</x:t>
        </x:is>
      </x:c>
      <x:c r="H15" s="15" t="str"/>
    </x:row>
    <x:row r="16">
      <x:c r="A16" s="13" t="n"/>
      <x:c r="B16" s="14" t="n"/>
      <x:c r="C16" s="14" t="n"/>
      <x:c r="D16" s="14" t="n"/>
      <x:c r="E16" s="14" t="n"/>
      <x:c r="F16" s="14" t="n"/>
      <x:c r="G16" s="14" t="n"/>
      <x:c r="H16" s="15" t="n"/>
    </x:row>
    <x:row r="17">
      <x:c r="A17" s="13" t="n"/>
      <x:c r="B17" s="14" t="n"/>
      <x:c r="C17" s="14" t="n"/>
      <x:c r="D17" s="14" t="n"/>
      <x:c r="E17" s="14" t="n"/>
      <x:c r="F17" s="14" t="n"/>
      <x:c r="G17" s="14" t="n"/>
      <x:c r="H17" s="15" t="n"/>
    </x:row>
    <x:row r="18">
      <x:c r="A18" s="13" t="n"/>
      <x:c r="B18" s="14" t="n"/>
      <x:c r="C18" s="14" t="n"/>
      <x:c r="D18" s="14" t="n"/>
      <x:c r="E18" s="14" t="n"/>
      <x:c r="F18" s="14" t="n"/>
      <x:c r="G18" s="14" t="n"/>
      <x:c r="H18" s="15" t="n"/>
    </x:row>
    <x:row r="19">
      <x:c r="A19" s="13" t="n"/>
      <x:c r="B19" s="14" t="n"/>
      <x:c r="C19" s="14" t="n"/>
      <x:c r="D19" s="14" t="n"/>
      <x:c r="E19" s="14" t="n"/>
      <x:c r="F19" s="14" t="n"/>
      <x:c r="G19" s="14" t="n"/>
      <x:c r="H19" s="15" t="n"/>
    </x:row>
    <x:row r="20">
      <x:c r="A20" s="13" t="n"/>
      <x:c r="B20" s="14" t="n"/>
      <x:c r="C20" s="14" t="n"/>
      <x:c r="D20" s="14" t="n"/>
      <x:c r="E20" s="14" t="n"/>
      <x:c r="F20" s="14" t="n"/>
      <x:c r="G20" s="14" t="n"/>
      <x:c r="H20" s="15" t="n"/>
    </x:row>
    <x:row r="21">
      <x:c r="A21" s="13" t="n"/>
      <x:c r="B21" s="14" t="n"/>
      <x:c r="C21" s="14" t="n"/>
      <x:c r="D21" s="14" t="n"/>
      <x:c r="E21" s="14" t="n"/>
      <x:c r="F21" s="14" t="n"/>
      <x:c r="G21" s="14" t="n"/>
      <x:c r="H21" s="15" t="n"/>
    </x:row>
    <x:row r="22">
      <x:c r="A22" s="13" t="n"/>
      <x:c r="B22" s="14" t="n"/>
      <x:c r="C22" s="14" t="n"/>
      <x:c r="D22" s="14" t="n"/>
      <x:c r="E22" s="14" t="n"/>
      <x:c r="F22" s="14" t="n"/>
      <x:c r="G22" s="14" t="n"/>
      <x:c r="H22" s="15" t="n"/>
    </x:row>
    <x:row r="23">
      <x:c r="A23" s="13" t="n"/>
      <x:c r="B23" s="14" t="n"/>
      <x:c r="C23" s="14" t="n"/>
      <x:c r="D23" s="14" t="n"/>
      <x:c r="E23" s="14" t="n"/>
      <x:c r="F23" s="14" t="n"/>
      <x:c r="G23" s="14" t="n"/>
      <x:c r="H23" s="15" t="n"/>
    </x:row>
    <x:row r="24">
      <x:c r="A24" s="13" t="n"/>
      <x:c r="B24" s="14" t="n"/>
      <x:c r="C24" s="14" t="n"/>
      <x:c r="D24" s="14" t="n"/>
      <x:c r="E24" s="14" t="n"/>
      <x:c r="F24" s="14" t="n"/>
      <x:c r="G24" s="14" t="n"/>
      <x:c r="H24" s="15" t="n"/>
    </x:row>
    <x:row r="25">
      <x:c r="A25" s="13" t="n"/>
      <x:c r="B25" s="14" t="n"/>
      <x:c r="C25" s="14" t="n"/>
      <x:c r="D25" s="14" t="n"/>
      <x:c r="E25" s="14" t="n"/>
      <x:c r="F25" s="14" t="n"/>
      <x:c r="G25" s="14" t="n"/>
      <x:c r="H25" s="15" t="n"/>
    </x:row>
    <x:row r="26">
      <x:c r="A26" s="13" t="n"/>
      <x:c r="B26" s="14" t="n"/>
      <x:c r="C26" s="14" t="n"/>
      <x:c r="D26" s="14" t="n"/>
      <x:c r="E26" s="14" t="n"/>
      <x:c r="F26" s="14" t="n"/>
      <x:c r="G26" s="14" t="n"/>
      <x:c r="H26" s="15" t="n"/>
    </x:row>
    <x:row r="27">
      <x:c r="A27" s="13" t="n"/>
      <x:c r="B27" s="14" t="n"/>
      <x:c r="C27" s="14" t="n"/>
      <x:c r="D27" s="14" t="n"/>
      <x:c r="E27" s="14" t="n"/>
      <x:c r="F27" s="14" t="n"/>
      <x:c r="G27" s="14" t="n"/>
      <x:c r="H27" s="15" t="n"/>
    </x:row>
    <x:row r="28">
      <x:c r="A28" s="13" t="n"/>
      <x:c r="B28" s="14" t="n"/>
      <x:c r="C28" s="14" t="n"/>
      <x:c r="D28" s="14" t="n"/>
      <x:c r="E28" s="14" t="n"/>
      <x:c r="F28" s="14" t="n"/>
      <x:c r="G28" s="14" t="n"/>
      <x:c r="H28" s="15" t="n"/>
    </x:row>
    <x:row r="29">
      <x:c r="A29" s="13" t="n"/>
      <x:c r="B29" s="14" t="n"/>
      <x:c r="C29" s="14" t="n"/>
      <x:c r="D29" s="14" t="n"/>
      <x:c r="E29" s="14" t="n"/>
      <x:c r="F29" s="14" t="n"/>
      <x:c r="G29" s="14" t="n"/>
      <x:c r="H29" s="15" t="n"/>
    </x:row>
    <x:row r="30">
      <x:c r="A30" s="13" t="n"/>
      <x:c r="B30" s="14" t="n"/>
      <x:c r="C30" s="14" t="n"/>
      <x:c r="D30" s="14" t="n"/>
      <x:c r="E30" s="14" t="n"/>
      <x:c r="F30" s="14" t="n"/>
      <x:c r="G30" s="14" t="n"/>
      <x:c r="H30" s="15" t="n"/>
    </x:row>
    <x:row r="31">
      <x:c r="A31" s="13" t="n"/>
      <x:c r="B31" s="14" t="n"/>
      <x:c r="C31" s="14" t="n"/>
      <x:c r="D31" s="14" t="n"/>
      <x:c r="E31" s="14" t="n"/>
      <x:c r="F31" s="14" t="n"/>
      <x:c r="G31" s="14" t="n"/>
      <x:c r="H31" s="15" t="n"/>
    </x:row>
    <x:row r="32">
      <x:c r="A32" s="13" t="n"/>
      <x:c r="B32" s="14" t="n"/>
      <x:c r="C32" s="14" t="n"/>
      <x:c r="D32" s="14" t="n"/>
      <x:c r="E32" s="14" t="n"/>
      <x:c r="F32" s="14" t="n"/>
      <x:c r="G32" s="14" t="n"/>
      <x:c r="H32" s="15" t="n"/>
    </x:row>
    <x:row r="33">
      <x:c r="A33" s="13" t="n"/>
      <x:c r="B33" s="14" t="n"/>
      <x:c r="C33" s="14" t="n"/>
      <x:c r="D33" s="14" t="n"/>
      <x:c r="E33" s="14" t="n"/>
      <x:c r="F33" s="14" t="n"/>
      <x:c r="G33" s="14" t="n"/>
      <x:c r="H33" s="15" t="n"/>
    </x:row>
    <x:row r="34">
      <x:c r="A34" s="13" t="n"/>
      <x:c r="B34" s="14" t="n"/>
      <x:c r="C34" s="14" t="n"/>
      <x:c r="D34" s="14" t="n"/>
      <x:c r="E34" s="14" t="n"/>
      <x:c r="F34" s="14" t="n"/>
      <x:c r="G34" s="14" t="n"/>
      <x:c r="H34" s="15" t="n"/>
    </x:row>
    <x:row r="35">
      <x:c r="A35" s="13" t="n"/>
      <x:c r="B35" s="14" t="n"/>
      <x:c r="C35" s="14" t="n"/>
      <x:c r="D35" s="14" t="n"/>
      <x:c r="E35" s="14" t="n"/>
      <x:c r="F35" s="14" t="n"/>
      <x:c r="G35" s="14" t="n"/>
      <x:c r="H35" s="15" t="n"/>
    </x:row>
    <x:row r="36">
      <x:c r="A36" s="13" t="n"/>
      <x:c r="B36" s="14" t="n"/>
      <x:c r="C36" s="14" t="n"/>
      <x:c r="D36" s="14" t="n"/>
      <x:c r="E36" s="14" t="n"/>
      <x:c r="F36" s="14" t="n"/>
      <x:c r="G36" s="14" t="n"/>
      <x:c r="H36" s="15" t="n"/>
    </x:row>
    <x:row r="37">
      <x:c r="A37" s="13" t="n"/>
      <x:c r="B37" s="14" t="n"/>
      <x:c r="C37" s="14" t="n"/>
      <x:c r="D37" s="14" t="n"/>
      <x:c r="E37" s="14" t="n"/>
      <x:c r="F37" s="14" t="n"/>
      <x:c r="G37" s="14" t="n"/>
      <x:c r="H37" s="15" t="n"/>
    </x:row>
    <x:row r="38">
      <x:c r="A38" s="13" t="n"/>
      <x:c r="B38" s="14" t="n"/>
      <x:c r="C38" s="14" t="n"/>
      <x:c r="D38" s="14" t="n"/>
      <x:c r="E38" s="14" t="n"/>
      <x:c r="F38" s="14" t="n"/>
      <x:c r="G38" s="14" t="n"/>
      <x:c r="H38" s="15" t="n"/>
    </x:row>
    <x:row r="39">
      <x:c r="A39" s="13" t="n"/>
      <x:c r="B39" s="14" t="n"/>
      <x:c r="C39" s="14" t="n"/>
      <x:c r="D39" s="14" t="n"/>
      <x:c r="E39" s="14" t="n"/>
      <x:c r="F39" s="14" t="n"/>
      <x:c r="G39" s="14" t="n"/>
      <x:c r="H39" s="15" t="n"/>
    </x:row>
    <x:row r="40">
      <x:c r="A40" s="13" t="n"/>
      <x:c r="B40" s="14" t="n"/>
      <x:c r="C40" s="14" t="n"/>
      <x:c r="D40" s="14" t="n"/>
      <x:c r="E40" s="14" t="n"/>
      <x:c r="F40" s="14" t="n"/>
      <x:c r="G40" s="14" t="n"/>
      <x:c r="H40" s="15" t="n"/>
    </x:row>
    <x:row r="41">
      <x:c r="A41" s="13" t="n"/>
      <x:c r="B41" s="14" t="n"/>
      <x:c r="C41" s="14" t="n"/>
      <x:c r="D41" s="14" t="n"/>
      <x:c r="E41" s="14" t="n"/>
      <x:c r="F41" s="14" t="n"/>
      <x:c r="G41" s="14" t="n"/>
      <x:c r="H41" s="15" t="n"/>
    </x:row>
    <x:row r="42">
      <x:c r="A42" s="13" t="n"/>
      <x:c r="B42" s="14" t="n"/>
      <x:c r="C42" s="14" t="n"/>
      <x:c r="D42" s="14" t="n"/>
      <x:c r="E42" s="14" t="n"/>
      <x:c r="F42" s="14" t="n"/>
      <x:c r="G42" s="14" t="n"/>
      <x:c r="H42" s="15" t="n"/>
    </x:row>
    <x:row r="43">
      <x:c r="A43" s="13" t="n"/>
      <x:c r="B43" s="14" t="n"/>
      <x:c r="C43" s="14" t="n"/>
      <x:c r="D43" s="14" t="n"/>
      <x:c r="E43" s="14" t="n"/>
      <x:c r="F43" s="14" t="n"/>
      <x:c r="G43" s="14" t="n"/>
      <x:c r="H43" s="15" t="n"/>
    </x:row>
    <x:row r="44">
      <x:c r="A44" s="13" t="n"/>
      <x:c r="B44" s="14" t="n"/>
      <x:c r="C44" s="14" t="n"/>
      <x:c r="D44" s="14" t="n"/>
      <x:c r="E44" s="14" t="n"/>
      <x:c r="F44" s="14" t="n"/>
      <x:c r="G44" s="14" t="n"/>
      <x:c r="H44" s="15" t="n"/>
    </x:row>
    <x:row r="45">
      <x:c r="A45" s="13" t="n"/>
      <x:c r="B45" s="14" t="n"/>
      <x:c r="C45" s="14" t="n"/>
      <x:c r="D45" s="14" t="n"/>
      <x:c r="E45" s="14" t="n"/>
      <x:c r="F45" s="14" t="n"/>
      <x:c r="G45" s="14" t="n"/>
      <x:c r="H45" s="15" t="n"/>
    </x:row>
    <x:row r="46">
      <x:c r="A46" s="13" t="n"/>
      <x:c r="B46" s="14" t="n"/>
      <x:c r="C46" s="14" t="n"/>
      <x:c r="D46" s="14" t="n"/>
      <x:c r="E46" s="14" t="n"/>
      <x:c r="F46" s="14" t="n"/>
      <x:c r="G46" s="14" t="n"/>
      <x:c r="H46" s="15" t="n"/>
    </x:row>
    <x:row r="47">
      <x:c r="A47" s="13" t="n"/>
      <x:c r="B47" s="14" t="n"/>
      <x:c r="C47" s="14" t="n"/>
      <x:c r="D47" s="14" t="n"/>
      <x:c r="E47" s="14" t="n"/>
      <x:c r="F47" s="14" t="n"/>
      <x:c r="G47" s="14" t="n"/>
      <x:c r="H47" s="15" t="n"/>
    </x:row>
    <x:row r="48">
      <x:c r="A48" s="13" t="n"/>
      <x:c r="B48" s="14" t="n"/>
      <x:c r="C48" s="14" t="n"/>
      <x:c r="D48" s="14" t="n"/>
      <x:c r="E48" s="14" t="n"/>
      <x:c r="F48" s="14" t="n"/>
      <x:c r="G48" s="14" t="n"/>
      <x:c r="H48" s="15" t="n"/>
    </x:row>
    <x:row r="49">
      <x:c r="A49" s="13" t="n"/>
      <x:c r="B49" s="14" t="n"/>
      <x:c r="C49" s="14" t="n"/>
      <x:c r="D49" s="14" t="n"/>
      <x:c r="E49" s="14" t="n"/>
      <x:c r="F49" s="14" t="n"/>
      <x:c r="G49" s="14" t="n"/>
      <x:c r="H49" s="15" t="n"/>
    </x:row>
    <x:row r="50">
      <x:c r="A50" s="13" t="n"/>
      <x:c r="B50" s="14" t="n"/>
      <x:c r="C50" s="14" t="n"/>
      <x:c r="D50" s="14" t="n"/>
      <x:c r="E50" s="14" t="n"/>
      <x:c r="F50" s="14" t="n"/>
      <x:c r="G50" s="14" t="n"/>
      <x:c r="H50" s="15" t="n"/>
    </x:row>
    <x:row r="51">
      <x:c r="A51" s="13" t="n"/>
      <x:c r="B51" s="14" t="n"/>
      <x:c r="C51" s="14" t="n"/>
      <x:c r="D51" s="14" t="n"/>
      <x:c r="E51" s="14" t="n"/>
      <x:c r="F51" s="14" t="n"/>
      <x:c r="G51" s="14" t="n"/>
      <x:c r="H51" s="15" t="n"/>
    </x:row>
    <x:row r="52">
      <x:c r="A52" s="13" t="n"/>
      <x:c r="B52" s="14" t="n"/>
      <x:c r="C52" s="14" t="n"/>
      <x:c r="D52" s="14" t="n"/>
      <x:c r="E52" s="14" t="n"/>
      <x:c r="F52" s="14" t="n"/>
      <x:c r="G52" s="14" t="n"/>
      <x:c r="H52" s="15" t="n"/>
    </x:row>
    <x:row r="53">
      <x:c r="A53" s="13" t="n"/>
      <x:c r="B53" s="14" t="n"/>
      <x:c r="C53" s="14" t="n"/>
      <x:c r="D53" s="14" t="n"/>
      <x:c r="E53" s="14" t="n"/>
      <x:c r="F53" s="14" t="n"/>
      <x:c r="G53" s="14" t="n"/>
      <x:c r="H53" s="15" t="n"/>
    </x:row>
    <x:row r="54">
      <x:c r="A54" s="13" t="n"/>
      <x:c r="B54" s="14" t="n"/>
      <x:c r="C54" s="14" t="n"/>
      <x:c r="D54" s="14" t="n"/>
      <x:c r="E54" s="14" t="n"/>
      <x:c r="F54" s="14" t="n"/>
      <x:c r="G54" s="14" t="n"/>
      <x:c r="H54" s="15" t="n"/>
    </x:row>
    <x:row r="55">
      <x:c r="A55" s="13" t="n"/>
      <x:c r="B55" s="14" t="n"/>
      <x:c r="C55" s="14" t="n"/>
      <x:c r="D55" s="14" t="n"/>
      <x:c r="E55" s="14" t="n"/>
      <x:c r="F55" s="14" t="n"/>
      <x:c r="G55" s="14" t="n"/>
      <x:c r="H55" s="15" t="n"/>
    </x:row>
    <x:row r="56">
      <x:c r="A56" s="13" t="n"/>
      <x:c r="B56" s="14" t="n"/>
      <x:c r="C56" s="14" t="n"/>
      <x:c r="D56" s="14" t="n"/>
      <x:c r="E56" s="14" t="n"/>
      <x:c r="F56" s="14" t="n"/>
      <x:c r="G56" s="14" t="n"/>
      <x:c r="H56" s="15" t="n"/>
    </x:row>
    <x:row r="57">
      <x:c r="A57" s="13" t="n"/>
      <x:c r="B57" s="14" t="n"/>
      <x:c r="C57" s="14" t="n"/>
      <x:c r="D57" s="14" t="n"/>
      <x:c r="E57" s="14" t="n"/>
      <x:c r="F57" s="14" t="n"/>
      <x:c r="G57" s="14" t="n"/>
      <x:c r="H57" s="15" t="n"/>
    </x:row>
    <x:row r="58">
      <x:c r="A58" s="13" t="n"/>
      <x:c r="B58" s="14" t="n"/>
      <x:c r="C58" s="14" t="n"/>
      <x:c r="D58" s="14" t="n"/>
      <x:c r="E58" s="14" t="n"/>
      <x:c r="F58" s="14" t="n"/>
      <x:c r="G58" s="14" t="n"/>
      <x:c r="H58" s="15" t="n"/>
    </x:row>
    <x:row r="59">
      <x:c r="A59" s="13" t="n"/>
      <x:c r="B59" s="14" t="n"/>
      <x:c r="C59" s="14" t="n"/>
      <x:c r="D59" s="14" t="n"/>
      <x:c r="E59" s="14" t="n"/>
      <x:c r="F59" s="14" t="n"/>
      <x:c r="G59" s="14" t="n"/>
      <x:c r="H59" s="15" t="n"/>
    </x:row>
    <x:row r="60">
      <x:c r="A60" s="13" t="n"/>
      <x:c r="B60" s="14" t="n"/>
      <x:c r="C60" s="14" t="n"/>
      <x:c r="D60" s="14" t="n"/>
      <x:c r="E60" s="14" t="n"/>
      <x:c r="F60" s="14" t="n"/>
      <x:c r="G60" s="14" t="n"/>
      <x:c r="H60" s="15" t="n"/>
    </x:row>
    <x:row r="61">
      <x:c r="A61" s="13" t="n"/>
      <x:c r="B61" s="14" t="n"/>
      <x:c r="C61" s="14" t="n"/>
      <x:c r="D61" s="14" t="n"/>
      <x:c r="E61" s="14" t="n"/>
      <x:c r="F61" s="14" t="n"/>
      <x:c r="G61" s="14" t="n"/>
      <x:c r="H61" s="15" t="n"/>
    </x:row>
    <x:row r="62">
      <x:c r="A62" s="13" t="n"/>
      <x:c r="B62" s="14" t="n"/>
      <x:c r="C62" s="14" t="n"/>
      <x:c r="D62" s="14" t="n"/>
      <x:c r="E62" s="14" t="n"/>
      <x:c r="F62" s="14" t="n"/>
      <x:c r="G62" s="14" t="n"/>
      <x:c r="H62" s="15" t="n"/>
    </x:row>
    <x:row r="63">
      <x:c r="A63" s="13" t="n"/>
      <x:c r="B63" s="14" t="n"/>
      <x:c r="C63" s="14" t="n"/>
      <x:c r="D63" s="14" t="n"/>
      <x:c r="E63" s="14" t="n"/>
      <x:c r="F63" s="14" t="n"/>
      <x:c r="G63" s="14" t="n"/>
      <x:c r="H63" s="15" t="n"/>
    </x:row>
    <x:row r="64">
      <x:c r="A64" s="13" t="n"/>
      <x:c r="B64" s="14" t="n"/>
      <x:c r="C64" s="14" t="n"/>
      <x:c r="D64" s="14" t="n"/>
      <x:c r="E64" s="14" t="n"/>
      <x:c r="F64" s="14" t="n"/>
      <x:c r="G64" s="14" t="n"/>
      <x:c r="H64" s="15" t="n"/>
    </x:row>
    <x:row r="65">
      <x:c r="A65" s="13" t="n"/>
      <x:c r="B65" s="14" t="n"/>
      <x:c r="C65" s="14" t="n"/>
      <x:c r="D65" s="14" t="n"/>
      <x:c r="E65" s="14" t="n"/>
      <x:c r="F65" s="14" t="n"/>
      <x:c r="G65" s="14" t="n"/>
      <x:c r="H65" s="15" t="n"/>
    </x:row>
    <x:row r="66">
      <x:c r="A66" s="13" t="n"/>
      <x:c r="B66" s="14" t="n"/>
      <x:c r="C66" s="14" t="n"/>
      <x:c r="D66" s="14" t="n"/>
      <x:c r="E66" s="14" t="n"/>
      <x:c r="F66" s="14" t="n"/>
      <x:c r="G66" s="14" t="n"/>
      <x:c r="H66" s="15" t="n"/>
    </x:row>
    <x:row r="67">
      <x:c r="A67" s="13" t="n"/>
      <x:c r="B67" s="14" t="n"/>
      <x:c r="C67" s="14" t="n"/>
      <x:c r="D67" s="14" t="n"/>
      <x:c r="E67" s="14" t="n"/>
      <x:c r="F67" s="14" t="n"/>
      <x:c r="G67" s="14" t="n"/>
      <x:c r="H67" s="15" t="n"/>
    </x:row>
    <x:row r="68">
      <x:c r="A68" s="13" t="n"/>
      <x:c r="B68" s="14" t="n"/>
      <x:c r="C68" s="14" t="n"/>
      <x:c r="D68" s="14" t="n"/>
      <x:c r="E68" s="14" t="n"/>
      <x:c r="F68" s="14" t="n"/>
      <x:c r="G68" s="14" t="n"/>
      <x:c r="H68" s="15" t="n"/>
    </x:row>
    <x:row r="69">
      <x:c r="A69" s="13" t="n"/>
      <x:c r="B69" s="14" t="n"/>
      <x:c r="C69" s="14" t="n"/>
      <x:c r="D69" s="14" t="n"/>
      <x:c r="E69" s="14" t="n"/>
      <x:c r="F69" s="14" t="n"/>
      <x:c r="G69" s="14" t="n"/>
      <x:c r="H69" s="15" t="n"/>
    </x:row>
    <x:row r="70">
      <x:c r="A70" s="13" t="n"/>
      <x:c r="B70" s="14" t="n"/>
      <x:c r="C70" s="14" t="n"/>
      <x:c r="D70" s="14" t="n"/>
      <x:c r="E70" s="14" t="n"/>
      <x:c r="F70" s="14" t="n"/>
      <x:c r="G70" s="14" t="n"/>
      <x:c r="H70" s="15" t="n"/>
    </x:row>
    <x:row r="71">
      <x:c r="A71" s="13" t="n"/>
      <x:c r="B71" s="14" t="n"/>
      <x:c r="C71" s="14" t="n"/>
      <x:c r="D71" s="14" t="n"/>
      <x:c r="E71" s="14" t="n"/>
      <x:c r="F71" s="14" t="n"/>
      <x:c r="G71" s="14" t="n"/>
      <x:c r="H71" s="15" t="n"/>
    </x:row>
    <x:row r="72">
      <x:c r="A72" s="13" t="n"/>
      <x:c r="B72" s="14" t="n"/>
      <x:c r="C72" s="14" t="n"/>
      <x:c r="D72" s="14" t="n"/>
      <x:c r="E72" s="14" t="n"/>
      <x:c r="F72" s="14" t="n"/>
      <x:c r="G72" s="14" t="n"/>
      <x:c r="H72" s="15" t="n"/>
    </x:row>
    <x:row r="73">
      <x:c r="A73" s="13" t="n"/>
      <x:c r="B73" s="14" t="n"/>
      <x:c r="C73" s="14" t="n"/>
      <x:c r="D73" s="14" t="n"/>
      <x:c r="E73" s="14" t="n"/>
      <x:c r="F73" s="14" t="n"/>
      <x:c r="G73" s="14" t="n"/>
      <x:c r="H73" s="15" t="n"/>
    </x:row>
    <x:row r="74">
      <x:c r="A74" s="13" t="n"/>
      <x:c r="B74" s="14" t="n"/>
      <x:c r="C74" s="14" t="n"/>
      <x:c r="D74" s="14" t="n"/>
      <x:c r="E74" s="14" t="n"/>
      <x:c r="F74" s="14" t="n"/>
      <x:c r="G74" s="14" t="n"/>
      <x:c r="H74" s="15" t="n"/>
    </x:row>
    <x:row r="75">
      <x:c r="A75" s="16" t="n"/>
      <x:c r="B75" s="17" t="n"/>
      <x:c r="C75" s="17" t="n"/>
      <x:c r="D75" s="17" t="n"/>
      <x:c r="E75" s="17" t="n"/>
      <x:c r="F75" s="17" t="n"/>
      <x:c r="G75" s="17" t="n"/>
      <x:c r="H75" s="18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4" customWidth="1"/>
    <x:col min="3" max="3" width="14" customWidth="1"/>
    <x:col min="4" max="4" width="14" customWidth="1"/>
    <x:col min="5" max="5" width="14" customWidth="1"/>
    <x:col min="6" max="6" width="34" customWidth="1"/>
    <x:col min="7" max="7" width="38" customWidth="1"/>
    <x:col min="8" max="8" width="38" customWidth="1"/>
  </x:cols>
  <x:sheetData>
    <x:row r="1">
      <x:c r="A1" s="107" t="inlineStr">
        <x:is>
          <x:t xml:space="preserve">06 Cuenta de resultados</x:t>
        </x:is>
      </x:c>
      <x:c r="B1" s="108" t="str"/>
      <x:c r="C1" s="108" t="str"/>
      <x:c r="D1" s="108" t="str"/>
      <x:c r="E1" s="108" t="str"/>
      <x:c r="F1" s="109" t="str"/>
      <x:c r="G1" s="119" t="n"/>
      <x:c r="H1" s="120" t="n"/>
    </x:row>
    <x:row r="2">
      <x:c r="A2" s="111" t="inlineStr">
        <x:is>
          <x:t xml:space="preserve">Ingresos, margen bruto, OPEX, EBITDA, EBIT, resultado antes de impuestos y resultado neto. EUR M.</x:t>
        </x:is>
      </x:c>
      <x:c r="B2" s="112" t="str"/>
      <x:c r="C2" s="112" t="str"/>
      <x:c r="D2" s="112" t="str"/>
      <x:c r="E2" s="112" t="str"/>
      <x:c r="F2" s="112" t="str"/>
      <x:c r="G2" s="121" t="n"/>
      <x:c r="H2" s="122" t="n"/>
    </x:row>
    <x:row r="3">
      <x:c r="A3" s="13" t="str"/>
      <x:c r="B3" s="14" t="str"/>
      <x:c r="C3" s="14" t="str"/>
      <x:c r="D3" s="14" t="str"/>
      <x:c r="E3" s="14" t="str"/>
      <x:c r="F3" s="14" t="str"/>
      <x:c r="G3" s="121" t="n"/>
      <x:c r="H3" s="122" t="n"/>
    </x:row>
    <x:row r="4">
      <x:c r="A4" s="13" t="n"/>
      <x:c r="B4" s="14" t="n"/>
      <x:c r="C4" s="14" t="n"/>
      <x:c r="D4" s="14" t="n"/>
      <x:c r="E4" s="14" t="n"/>
      <x:c r="F4" s="14" t="n"/>
      <x:c r="G4" s="121" t="n"/>
      <x:c r="H4" s="122" t="n"/>
    </x:row>
    <x:row r="5">
      <x:c r="A5" s="114" t="inlineStr">
        <x:is>
          <x:t xml:space="preserve">Concepto</x:t>
        </x:is>
      </x:c>
      <x:c r="B5" s="159" t="inlineStr">
        <x:is>
          <x:t xml:space="preserve">2026/27</x:t>
        </x:is>
      </x:c>
      <x:c r="C5" s="159" t="inlineStr">
        <x:is>
          <x:t xml:space="preserve">2028</x:t>
        </x:is>
      </x:c>
      <x:c r="D5" s="159" t="inlineStr">
        <x:is>
          <x:t xml:space="preserve">2029</x:t>
        </x:is>
      </x:c>
      <x:c r="E5" s="159" t="inlineStr">
        <x:is>
          <x:t xml:space="preserve">2030</x:t>
        </x:is>
      </x:c>
      <x:c r="F5" s="115" t="inlineStr">
        <x:is>
          <x:t xml:space="preserve">Notas / driver</x:t>
        </x:is>
      </x:c>
      <x:c r="G5" s="121" t="n"/>
      <x:c r="H5" s="122" t="n"/>
    </x:row>
    <x:row r="6">
      <x:c r="A6" s="13" t="inlineStr">
        <x:is>
          <x:t xml:space="preserve">Ingresos totales</x:t>
        </x:is>
      </x:c>
      <x:c r="B6" s="163" t="n">
        <x:f>'02_Detalle_Ingresos'!B42</x:f>
        <x:v>9.567028</x:v>
      </x:c>
      <x:c r="C6" s="163" t="n">
        <x:f>'02_Detalle_Ingresos'!C42</x:f>
        <x:v>43.86780639999999</x:v>
      </x:c>
      <x:c r="D6" s="163" t="n">
        <x:f>'02_Detalle_Ingresos'!D42</x:f>
        <x:v>94.41890556666667</x:v>
      </x:c>
      <x:c r="E6" s="163" t="n">
        <x:f>'02_Detalle_Ingresos'!E42</x:f>
        <x:v>192.02824003333333</x:v>
      </x:c>
      <x:c r="F6" s="14" t="inlineStr">
        <x:is>
          <x:t xml:space="preserve">Desde Detalle de ingresos</x:t>
        </x:is>
      </x:c>
      <x:c r="G6" s="121" t="n"/>
      <x:c r="H6" s="122" t="n"/>
    </x:row>
    <x:row r="7">
      <x:c r="A7" s="13" t="inlineStr">
        <x:is>
          <x:t xml:space="preserve">Contribucion digitalizacion fabricante</x:t>
        </x:is>
      </x:c>
      <x:c r="B7" s="163" t="n">
        <x:f>'02_Detalle_Ingresos'!B20*'01_Supuestos'!B51</x:f>
        <x:v>0.09859999999999998</x:v>
      </x:c>
      <x:c r="C7" s="163" t="n">
        <x:f>'02_Detalle_Ingresos'!C20*'01_Supuestos'!C51</x:f>
        <x:v>0.222</x:v>
      </x:c>
      <x:c r="D7" s="163" t="n">
        <x:f>'02_Detalle_Ingresos'!D20*'01_Supuestos'!D51</x:f>
        <x:v>0.434</x:v>
      </x:c>
      <x:c r="E7" s="163" t="n">
        <x:f>'02_Detalle_Ingresos'!E20*'01_Supuestos'!E51</x:f>
        <x:v>0.5850000000000001</x:v>
      </x:c>
      <x:c r="F7" s="14" t="inlineStr">
        <x:is>
          <x:t xml:space="preserve">Revenue x GM especifico</x:t>
        </x:is>
      </x:c>
      <x:c r="G7" s="121" t="n"/>
      <x:c r="H7" s="122" t="n"/>
    </x:row>
    <x:row r="8">
      <x:c r="A8" s="13" t="inlineStr">
        <x:is>
          <x:t xml:space="preserve">Contribucion digitalizacion montaje</x:t>
        </x:is>
      </x:c>
      <x:c r="B8" s="163" t="n">
        <x:f>'02_Detalle_Ingresos'!B21*'01_Supuestos'!B52</x:f>
        <x:v>0.0465</x:v>
      </x:c>
      <x:c r="C8" s="163" t="n">
        <x:f>'02_Detalle_Ingresos'!C21*'01_Supuestos'!C52</x:f>
        <x:v>0.15665</x:v>
      </x:c>
      <x:c r="D8" s="163" t="n">
        <x:f>'02_Detalle_Ingresos'!D21*'01_Supuestos'!D52</x:f>
        <x:v>0.1541</x:v>
      </x:c>
      <x:c r="E8" s="163" t="n">
        <x:f>'02_Detalle_Ingresos'!E21*'01_Supuestos'!E52</x:f>
        <x:v>0.17779999999999999</x:v>
      </x:c>
      <x:c r="F8" s="14" t="inlineStr">
        <x:is>
          <x:t xml:space="preserve">Revenue x GM especifico</x:t>
        </x:is>
      </x:c>
      <x:c r="G8" s="121" t="n"/>
      <x:c r="H8" s="122" t="n"/>
    </x:row>
    <x:row r="9">
      <x:c r="A9" s="13" t="inlineStr">
        <x:is>
          <x:t xml:space="preserve">Contribucion fee fabricante</x:t>
        </x:is>
      </x:c>
      <x:c r="B9" s="163" t="n">
        <x:f>'02_Detalle_Ingresos'!B22*'01_Supuestos'!B53</x:f>
        <x:v>0.645</x:v>
      </x:c>
      <x:c r="C9" s="163" t="n">
        <x:f>'02_Detalle_Ingresos'!C22*'01_Supuestos'!C53</x:f>
        <x:v>2.5237249999999998</x:v>
      </x:c>
      <x:c r="D9" s="163" t="n">
        <x:f>'02_Detalle_Ingresos'!D22*'01_Supuestos'!D53</x:f>
        <x:v>4.4337333333333335</x:v>
      </x:c>
      <x:c r="E9" s="163" t="n">
        <x:f>'02_Detalle_Ingresos'!E22*'01_Supuestos'!E53</x:f>
        <x:v>6.8295</x:v>
      </x:c>
      <x:c r="F9" s="14" t="inlineStr">
        <x:is>
          <x:t xml:space="preserve">Revenue x GM especifico</x:t>
        </x:is>
      </x:c>
      <x:c r="G9" s="121" t="n"/>
      <x:c r="H9" s="122" t="n"/>
    </x:row>
    <x:row r="10">
      <x:c r="A10" s="13" t="inlineStr">
        <x:is>
          <x:t xml:space="preserve">Contribucion fee montaje</x:t>
        </x:is>
      </x:c>
      <x:c r="B10" s="163" t="n">
        <x:f>'02_Detalle_Ingresos'!B23*'01_Supuestos'!B54</x:f>
        <x:v>0.5355</x:v>
      </x:c>
      <x:c r="C10" s="163" t="n">
        <x:f>'02_Detalle_Ingresos'!C23*'01_Supuestos'!C54</x:f>
        <x:v>2.2452449999999997</x:v>
      </x:c>
      <x:c r="D10" s="163" t="n">
        <x:f>'02_Detalle_Ingresos'!D23*'01_Supuestos'!D54</x:f>
        <x:v>4.0765155</x:v>
      </x:c>
      <x:c r="E10" s="163" t="n">
        <x:f>'02_Detalle_Ingresos'!E23*'01_Supuestos'!E54</x:f>
        <x:v>6.343846666666667</x:v>
      </x:c>
      <x:c r="F10" s="14" t="inlineStr">
        <x:is>
          <x:t xml:space="preserve">Revenue x GM especifico</x:t>
        </x:is>
      </x:c>
      <x:c r="G10" s="121" t="n"/>
      <x:c r="H10" s="122" t="n"/>
    </x:row>
    <x:row r="11">
      <x:c r="A11" s="13" t="inlineStr">
        <x:is>
          <x:t xml:space="preserve">Contribucion resto Asset OS</x:t>
        </x:is>
      </x:c>
      <x:c r="B11" s="163" t="n">
        <x:f>('02_Detalle_Ingresos'!B31-SUM('02_Detalle_Ingresos'!B20:B23))*'01_Supuestos'!B46</x:f>
        <x:v>3.535146</x:v>
      </x:c>
      <x:c r="C11" s="163" t="n">
        <x:f>('02_Detalle_Ingresos'!C31-SUM('02_Detalle_Ingresos'!C20:C23))*'01_Supuestos'!C46</x:f>
        <x:v>19.851365174666665</x:v>
      </x:c>
      <x:c r="D11" s="163" t="n">
        <x:f>('02_Detalle_Ingresos'!D31-SUM('02_Detalle_Ingresos'!D20:D23))*'01_Supuestos'!D46</x:f>
        <x:v>43.64942936433334</x:v>
      </x:c>
      <x:c r="E11" s="163" t="n">
        <x:f>('02_Detalle_Ingresos'!E31-SUM('02_Detalle_Ingresos'!E20:E23))*'01_Supuestos'!E46</x:f>
        <x:v>89.70435102733333</x:v>
      </x:c>
      <x:c r="F11" s="14" t="inlineStr">
        <x:is>
          <x:t xml:space="preserve">Subtotal Asset OS excl. lineas anteriores x margen Asset OS</x:t>
        </x:is>
      </x:c>
      <x:c r="G11" s="121" t="n"/>
      <x:c r="H11" s="122" t="n"/>
    </x:row>
    <x:row r="12">
      <x:c r="A12" s="13" t="inlineStr">
        <x:is>
          <x:t xml:space="preserve">Contribucion iPath</x:t>
        </x:is>
      </x:c>
      <x:c r="B12" s="163" t="n">
        <x:f>'02_Detalle_Ingresos'!B36*'01_Supuestos'!B47</x:f>
        <x:v>0.9560000000000001</x:v>
      </x:c>
      <x:c r="C12" s="163" t="n">
        <x:f>'02_Detalle_Ingresos'!C36*'01_Supuestos'!C47</x:f>
        <x:v>3.0282</x:v>
      </x:c>
      <x:c r="D12" s="163" t="n">
        <x:f>'02_Detalle_Ingresos'!D36*'01_Supuestos'!D47</x:f>
        <x:v>7.0444</x:v>
      </x:c>
      <x:c r="E12" s="163" t="n">
        <x:f>'02_Detalle_Ingresos'!E36*'01_Supuestos'!E47</x:f>
        <x:v>16.276799999999998</x:v>
      </x:c>
      <x:c r="F12" s="14" t="inlineStr">
        <x:is>
          <x:t xml:space="preserve">Revenue x margen iPath</x:t>
        </x:is>
      </x:c>
      <x:c r="G12" s="121" t="n"/>
      <x:c r="H12" s="122" t="n"/>
    </x:row>
    <x:row r="13">
      <x:c r="A13" s="13" t="inlineStr">
        <x:is>
          <x:t xml:space="preserve">Contribucion Marketplace</x:t>
        </x:is>
      </x:c>
      <x:c r="B13" s="163" t="n">
        <x:f>'02_Detalle_Ingresos'!B40*'01_Supuestos'!B48</x:f>
        <x:v>0.26480000000000004</x:v>
      </x:c>
      <x:c r="C13" s="163" t="n">
        <x:f>'02_Detalle_Ingresos'!C40*'01_Supuestos'!C48</x:f>
        <x:v>1.0284680533333332</x:v>
      </x:c>
      <x:c r="D13" s="163" t="n">
        <x:f>'02_Detalle_Ingresos'!D40*'01_Supuestos'!D48</x:f>
        <x:v>3.1100831999999996</x:v>
      </x:c>
      <x:c r="E13" s="163" t="n">
        <x:f>'02_Detalle_Ingresos'!E40*'01_Supuestos'!E48</x:f>
        <x:v>7.5434384</x:v>
      </x:c>
      <x:c r="F13" s="14" t="inlineStr">
        <x:is>
          <x:t xml:space="preserve">Revenue x margen Marketplace</x:t>
        </x:is>
      </x:c>
      <x:c r="G13" s="121" t="n"/>
      <x:c r="H13" s="122" t="n"/>
    </x:row>
    <x:row r="14">
      <x:c r="A14" s="13" t="inlineStr">
        <x:is>
          <x:t xml:space="preserve">Contribucion Moolde</x:t>
        </x:is>
      </x:c>
      <x:c r="B14" s="163" t="n">
        <x:f>'02_Detalle_Ingresos'!B37*'01_Supuestos'!B55</x:f>
        <x:v>0.2</x:v>
      </x:c>
      <x:c r="C14" s="163" t="n">
        <x:f>'02_Detalle_Ingresos'!C37*'01_Supuestos'!C55</x:f>
        <x:v>0.8</x:v>
      </x:c>
      <x:c r="D14" s="163" t="n">
        <x:f>'02_Detalle_Ingresos'!D37*'01_Supuestos'!D55</x:f>
        <x:v>1.8</x:v>
      </x:c>
      <x:c r="E14" s="163" t="n">
        <x:f>'02_Detalle_Ingresos'!E37*'01_Supuestos'!E55</x:f>
        <x:v>3</x:v>
      </x:c>
      <x:c r="F14" s="14" t="inlineStr">
        <x:is>
          <x:t xml:space="preserve">Revenue x margen Moolde</x:t>
        </x:is>
      </x:c>
      <x:c r="G14" s="121" t="n"/>
      <x:c r="H14" s="122" t="n"/>
    </x:row>
    <x:row r="15">
      <x:c r="A15" s="13" t="inlineStr">
        <x:is>
          <x:t xml:space="preserve">Contribucion Internacional</x:t>
        </x:is>
      </x:c>
      <x:c r="B15" s="163" t="n">
        <x:f>'02_Detalle_Ingresos'!B38*'01_Supuestos'!B49</x:f>
        <x:v>0</x:v>
      </x:c>
      <x:c r="C15" s="163" t="n">
        <x:f>'02_Detalle_Ingresos'!C38*'01_Supuestos'!C49</x:f>
        <x:v>1.02</x:v>
      </x:c>
      <x:c r="D15" s="163" t="n">
        <x:f>'02_Detalle_Ingresos'!D38*'01_Supuestos'!D49</x:f>
        <x:v>2.8</x:v>
      </x:c>
      <x:c r="E15" s="163" t="n">
        <x:f>'02_Detalle_Ingresos'!E38*'01_Supuestos'!E49</x:f>
        <x:v>9</x:v>
      </x:c>
      <x:c r="F15" s="14" t="inlineStr">
        <x:is>
          <x:t xml:space="preserve">Revenue x margen internacional</x:t>
        </x:is>
      </x:c>
      <x:c r="G15" s="121" t="n"/>
      <x:c r="H15" s="122" t="n"/>
    </x:row>
    <x:row r="16">
      <x:c r="A16" s="13" t="inlineStr">
        <x:is>
          <x:t xml:space="preserve">Contribucion Financial Layer</x:t>
        </x:is>
      </x:c>
      <x:c r="B16" s="163" t="n">
        <x:f>'02_Detalle_Ingresos'!B39*'01_Supuestos'!B50</x:f>
        <x:v>0.20400000000000001</x:v>
      </x:c>
      <x:c r="C16" s="163" t="n">
        <x:f>'02_Detalle_Ingresos'!C39*'01_Supuestos'!C50</x:f>
        <x:v>0.864</x:v>
      </x:c>
      <x:c r="D16" s="163" t="n">
        <x:f>'02_Detalle_Ingresos'!D39*'01_Supuestos'!D50</x:f>
        <x:v>2.25</x:v>
      </x:c>
      <x:c r="E16" s="163" t="n">
        <x:f>'02_Detalle_Ingresos'!E39*'01_Supuestos'!E50</x:f>
        <x:v>7.6499999999999995</x:v>
      </x:c>
      <x:c r="F16" s="14" t="inlineStr">
        <x:is>
          <x:t xml:space="preserve">Revenue x margen Financial Layer</x:t>
        </x:is>
      </x:c>
      <x:c r="G16" s="121" t="n"/>
      <x:c r="H16" s="122" t="n"/>
    </x:row>
    <x:row r="17">
      <x:c r="A17" s="161" t="inlineStr">
        <x:is>
          <x:t xml:space="preserve">Margen bruto / contribucion total</x:t>
        </x:is>
      </x:c>
      <x:c r="B17" s="154" t="n">
        <x:f>SUM(B7:B16)</x:f>
        <x:v>6.485546000000001</x:v>
      </x:c>
      <x:c r="C17" s="154" t="n">
        <x:f>SUM(C7:C16)</x:f>
        <x:v>31.739653227999998</x:v>
      </x:c>
      <x:c r="D17" s="154" t="n">
        <x:f>SUM(D7:D16)</x:f>
        <x:v>69.75226139766667</x:v>
      </x:c>
      <x:c r="E17" s="154" t="n">
        <x:f>SUM(E7:E16)</x:f>
        <x:v>147.110736094</x:v>
      </x:c>
      <x:c r="F17" s="154" t="inlineStr">
        <x:is>
          <x:t xml:space="preserve">SUM contribuciones</x:t>
        </x:is>
      </x:c>
      <x:c r="G17" s="121" t="n"/>
      <x:c r="H17" s="122" t="n"/>
    </x:row>
    <x:row r="18">
      <x:c r="A18" s="13" t="inlineStr">
        <x:is>
          <x:t xml:space="preserve">% margen bruto</x:t>
        </x:is>
      </x:c>
      <x:c r="B18" s="167" t="n">
        <x:f>IF(B6=0,0,B17/B6)</x:f>
        <x:v>0.6779060330961716</x:v>
      </x:c>
      <x:c r="C18" s="167" t="n">
        <x:f>IF(C6=0,0,C17/C6)</x:f>
        <x:v>0.7235295272936192</x:v>
      </x:c>
      <x:c r="D18" s="167" t="n">
        <x:f>IF(D6=0,0,D17/D6)</x:f>
        <x:v>0.7387531234241692</x:v>
      </x:c>
      <x:c r="E18" s="167" t="n">
        <x:f>IF(E6=0,0,E17/E6)</x:f>
        <x:v>0.7660890714223267</x:v>
      </x:c>
      <x:c r="F18" s="14" t="inlineStr">
        <x:is>
          <x:t xml:space="preserve">Contribucion / ingresos</x:t>
        </x:is>
      </x:c>
      <x:c r="G18" s="121" t="n"/>
      <x:c r="H18" s="122" t="n"/>
    </x:row>
    <x:row r="19">
      <x:c r="A19" s="13" t="inlineStr">
        <x:is>
          <x:t xml:space="preserve">OPEX personal</x:t>
        </x:is>
      </x:c>
      <x:c r="B19" s="163" t="n">
        <x:f>-'05_Detalle_OPEX'!B6</x:f>
        <x:v>-2.4195</x:v>
      </x:c>
      <x:c r="C19" s="163" t="n">
        <x:f>-'05_Detalle_OPEX'!C6</x:f>
        <x:v>-6.057430000000001</x:v>
      </x:c>
      <x:c r="D19" s="163" t="n">
        <x:f>-'05_Detalle_OPEX'!D6</x:f>
        <x:v>-10.8593724</x:v>
      </x:c>
      <x:c r="E19" s="163" t="n">
        <x:f>-'05_Detalle_OPEX'!E6</x:f>
        <x:v>-17.525155625999997</x:v>
      </x:c>
      <x:c r="F19" s="14" t="inlineStr">
        <x:is>
          <x:t xml:space="preserve">Gasto operativo de plantilla</x:t>
        </x:is>
      </x:c>
      <x:c r="G19" s="121" t="n"/>
      <x:c r="H19" s="122" t="n"/>
    </x:row>
    <x:row r="20">
      <x:c r="A20" s="13" t="inlineStr">
        <x:is>
          <x:t xml:space="preserve">OPEX no-personal</x:t>
        </x:is>
      </x:c>
      <x:c r="B20" s="163" t="n">
        <x:f>-'05_Detalle_OPEX'!B13</x:f>
        <x:v>-3.5267049646400004</x:v>
      </x:c>
      <x:c r="C20" s="163" t="n">
        <x:f>-'05_Detalle_OPEX'!C13</x:f>
        <x:v>-7.9020475602986675</x:v>
      </x:c>
      <x:c r="D20" s="163" t="n">
        <x:f>-'05_Detalle_OPEX'!D13</x:f>
        <x:v>-13.472127665065335</x:v>
      </x:c>
      <x:c r="E20" s="163" t="n">
        <x:f>-'05_Detalle_OPEX'!E13</x:f>
        <x:v>-21.708257252396</x:v>
      </x:c>
      <x:c r="F20" s="14" t="inlineStr">
        <x:is>
          <x:t xml:space="preserve">Gasto operativo no-personal</x:t>
        </x:is>
      </x:c>
      <x:c r="G20" s="121" t="n"/>
      <x:c r="H20" s="122" t="n"/>
    </x:row>
    <x:row r="21">
      <x:c r="A21" s="13" t="inlineStr">
        <x:is>
          <x:t xml:space="preserve">OPEX total</x:t>
        </x:is>
      </x:c>
      <x:c r="B21" s="163" t="n">
        <x:f>SUM(B19:B20)</x:f>
        <x:v>-5.946204964640001</x:v>
      </x:c>
      <x:c r="C21" s="163" t="n">
        <x:f>SUM(C19:C20)</x:f>
        <x:v>-13.95947756029867</x:v>
      </x:c>
      <x:c r="D21" s="163" t="n">
        <x:f>SUM(D19:D20)</x:f>
        <x:v>-24.331500065065335</x:v>
      </x:c>
      <x:c r="E21" s="163" t="n">
        <x:f>SUM(E19:E20)</x:f>
        <x:v>-39.233412878395995</x:v>
      </x:c>
      <x:c r="F21" s="14" t="inlineStr">
        <x:is>
          <x:t xml:space="preserve">Personal + no-personal</x:t>
        </x:is>
      </x:c>
      <x:c r="G21" s="121" t="n"/>
      <x:c r="H21" s="122" t="n"/>
    </x:row>
    <x:row r="22">
      <x:c r="A22" s="161" t="inlineStr">
        <x:is>
          <x:t xml:space="preserve">EBITDA</x:t>
        </x:is>
      </x:c>
      <x:c r="B22" s="154" t="n">
        <x:f>B17+B21</x:f>
        <x:v>0.5393410353600006</x:v>
      </x:c>
      <x:c r="C22" s="154" t="n">
        <x:f>C17+C21</x:f>
        <x:v>17.78017566770133</x:v>
      </x:c>
      <x:c r="D22" s="154" t="n">
        <x:f>D17+D21</x:f>
        <x:v>45.42076133260134</x:v>
      </x:c>
      <x:c r="E22" s="154" t="n">
        <x:f>E17+E21</x:f>
        <x:v>107.87732321560401</x:v>
      </x:c>
      <x:c r="F22" s="154" t="inlineStr">
        <x:is>
          <x:t xml:space="preserve">Margen bruto + OPEX total</x:t>
        </x:is>
      </x:c>
      <x:c r="G22" s="121" t="n"/>
      <x:c r="H22" s="122" t="n"/>
    </x:row>
    <x:row r="23">
      <x:c r="A23" s="13" t="inlineStr">
        <x:is>
          <x:t xml:space="preserve">% margen EBITDA</x:t>
        </x:is>
      </x:c>
      <x:c r="B23" s="167" t="n">
        <x:f>IF(B6=0,0,B22/B6)</x:f>
        <x:v>0.05637498242505411</x:v>
      </x:c>
      <x:c r="C23" s="167" t="n">
        <x:f>IF(C6=0,0,C22/C6)</x:f>
        <x:v>0.40531262278255453</x:v>
      </x:c>
      <x:c r="D23" s="167" t="n">
        <x:f>IF(D6=0,0,D22/D6)</x:f>
        <x:v>0.48105579131640064</x:v>
      </x:c>
      <x:c r="E23" s="167" t="n">
        <x:f>IF(E6=0,0,E22/E6)</x:f>
        <x:v>0.5617784300729833</x:v>
      </x:c>
      <x:c r="F23" s="14" t="inlineStr">
        <x:is>
          <x:t xml:space="preserve">EBITDA / ingresos</x:t>
        </x:is>
      </x:c>
      <x:c r="G23" s="121" t="n"/>
      <x:c r="H23" s="122" t="n"/>
    </x:row>
    <x:row r="24">
      <x:c r="A24" s="13" t="inlineStr">
        <x:is>
          <x:t xml:space="preserve">Amortizacion / D&amp;A</x:t>
        </x:is>
      </x:c>
      <x:c r="B24" s="163" t="n">
        <x:f>-'01_Supuestos'!B60</x:f>
        <x:v>-0.45</x:v>
      </x:c>
      <x:c r="C24" s="163" t="n">
        <x:f>-'01_Supuestos'!C60</x:f>
        <x:v>-0.75</x:v>
      </x:c>
      <x:c r="D24" s="163" t="n">
        <x:f>-'01_Supuestos'!D60</x:f>
        <x:v>-1.1</x:v>
      </x:c>
      <x:c r="E24" s="163" t="n">
        <x:f>-'01_Supuestos'!E60</x:f>
        <x:v>-1.55</x:v>
      </x:c>
      <x:c r="F24" s="14" t="inlineStr">
        <x:is>
          <x:t xml:space="preserve">Depreciacion y amortizacion contable</x:t>
        </x:is>
      </x:c>
      <x:c r="G24" s="121" t="n"/>
      <x:c r="H24" s="122" t="n"/>
    </x:row>
    <x:row r="25">
      <x:c r="A25" s="13" t="inlineStr">
        <x:is>
          <x:t xml:space="preserve">EBIT</x:t>
        </x:is>
      </x:c>
      <x:c r="B25" s="163" t="n">
        <x:f>B22+B24</x:f>
        <x:v>0.08934103536000054</x:v>
      </x:c>
      <x:c r="C25" s="163" t="n">
        <x:f>C22+C24</x:f>
        <x:v>17.03017566770133</x:v>
      </x:c>
      <x:c r="D25" s="163" t="n">
        <x:f>D22+D24</x:f>
        <x:v>44.320761332601336</x:v>
      </x:c>
      <x:c r="E25" s="163" t="n">
        <x:f>E22+E24</x:f>
        <x:v>106.32732321560401</x:v>
      </x:c>
      <x:c r="F25" s="14" t="inlineStr">
        <x:is>
          <x:t xml:space="preserve">EBITDA + D&amp;A</x:t>
        </x:is>
      </x:c>
      <x:c r="G25" s="121" t="n"/>
      <x:c r="H25" s="122" t="n"/>
    </x:row>
    <x:row r="26">
      <x:c r="A26" s="13" t="inlineStr">
        <x:is>
          <x:t xml:space="preserve">Resultado financiero</x:t>
        </x:is>
      </x:c>
      <x:c r="B26" s="163" t="n">
        <x:f>-'01_Supuestos'!B61</x:f>
        <x:v>-0.21</x:v>
      </x:c>
      <x:c r="C26" s="163" t="n">
        <x:f>-'01_Supuestos'!C61</x:f>
        <x:v>-0.105</x:v>
      </x:c>
      <x:c r="D26" s="163" t="n">
        <x:f>-'01_Supuestos'!D61</x:f>
        <x:v>0</x:v>
      </x:c>
      <x:c r="E26" s="163" t="n">
        <x:f>-'01_Supuestos'!E61</x:f>
        <x:v>0</x:v>
      </x:c>
      <x:c r="F26" s="14" t="inlineStr">
        <x:is>
          <x:t xml:space="preserve">Gasto financiero estimado</x:t>
        </x:is>
      </x:c>
      <x:c r="G26" s="121" t="n"/>
      <x:c r="H26" s="122" t="n"/>
    </x:row>
    <x:row r="27">
      <x:c r="A27" s="13" t="inlineStr">
        <x:is>
          <x:t xml:space="preserve">Resultado antes de impuestos</x:t>
        </x:is>
      </x:c>
      <x:c r="B27" s="163" t="n">
        <x:f>B25+B26</x:f>
        <x:v>-0.12065896463999945</x:v>
      </x:c>
      <x:c r="C27" s="163" t="n">
        <x:f>C25+C26</x:f>
        <x:v>16.92517566770133</x:v>
      </x:c>
      <x:c r="D27" s="163" t="n">
        <x:f>D25+D26</x:f>
        <x:v>44.320761332601336</x:v>
      </x:c>
      <x:c r="E27" s="163" t="n">
        <x:f>E25+E26</x:f>
        <x:v>106.32732321560401</x:v>
      </x:c>
      <x:c r="F27" s="14" t="inlineStr">
        <x:is>
          <x:t xml:space="preserve">EBIT + resultado financiero</x:t>
        </x:is>
      </x:c>
      <x:c r="G27" s="121" t="n"/>
      <x:c r="H27" s="122" t="n"/>
    </x:row>
    <x:row r="28">
      <x:c r="A28" s="13" t="inlineStr">
        <x:is>
          <x:t xml:space="preserve">Impuesto sobre sociedades</x:t>
        </x:is>
      </x:c>
      <x:c r="B28" s="163" t="n">
        <x:f>-MAX(0,B27*'01_Supuestos'!B58)</x:f>
        <x:v>0</x:v>
      </x:c>
      <x:c r="C28" s="163" t="n">
        <x:f>-MAX(0,C27*'01_Supuestos'!C58)</x:f>
        <x:v>-4.231293916925332</x:v>
      </x:c>
      <x:c r="D28" s="163" t="n">
        <x:f>-MAX(0,D27*'01_Supuestos'!D58)</x:f>
        <x:v>-11.080190333150334</x:v>
      </x:c>
      <x:c r="E28" s="163" t="n">
        <x:f>-MAX(0,E27*'01_Supuestos'!E58)</x:f>
        <x:v>-26.581830803901003</x:v>
      </x:c>
      <x:c r="F28" s="14" t="inlineStr">
        <x:is>
          <x:t xml:space="preserve">Sobre EBT positivo</x:t>
        </x:is>
      </x:c>
      <x:c r="G28" s="121" t="n"/>
      <x:c r="H28" s="122" t="n"/>
    </x:row>
    <x:row r="29">
      <x:c r="A29" s="161" t="inlineStr">
        <x:is>
          <x:t xml:space="preserve">Resultado neto</x:t>
        </x:is>
      </x:c>
      <x:c r="B29" s="154" t="n">
        <x:f>B27+B28</x:f>
        <x:v>-0.12065896463999945</x:v>
      </x:c>
      <x:c r="C29" s="154" t="n">
        <x:f>C27+C28</x:f>
        <x:v>12.693881750775997</x:v>
      </x:c>
      <x:c r="D29" s="154" t="n">
        <x:f>D27+D28</x:f>
        <x:v>33.240570999451</x:v>
      </x:c>
      <x:c r="E29" s="154" t="n">
        <x:f>E27+E28</x:f>
        <x:v>79.74549241170301</x:v>
      </x:c>
      <x:c r="F29" s="154" t="inlineStr">
        <x:is>
          <x:t xml:space="preserve">EBT + impuestos</x:t>
        </x:is>
      </x:c>
      <x:c r="G29" s="121" t="n"/>
      <x:c r="H29" s="122" t="n"/>
    </x:row>
    <x:row r="30">
      <x:c r="A30" s="13" t="inlineStr">
        <x:is>
          <x:t xml:space="preserve">% margen neto</x:t>
        </x:is>
      </x:c>
      <x:c r="B30" s="167" t="n">
        <x:f>IF(B6=0,0,B29/B6)</x:f>
        <x:v>-0.012611958974093045</x:v>
      </x:c>
      <x:c r="C30" s="167" t="n">
        <x:f>IF(C6=0,0,C29/C6)</x:f>
        <x:v>0.28936668578841906</x:v>
      </x:c>
      <x:c r="D30" s="167" t="n">
        <x:f>IF(D6=0,0,D29/D6)</x:f>
        <x:v>0.35205418660546456</x:v>
      </x:c>
      <x:c r="E30" s="167" t="n">
        <x:f>IF(E6=0,0,E29/E6)</x:f>
        <x:v>0.41528002546844334</x:v>
      </x:c>
      <x:c r="F30" s="14" t="inlineStr">
        <x:is>
          <x:t xml:space="preserve">Resultado neto / ingresos</x:t>
        </x:is>
      </x:c>
      <x:c r="G30" s="121" t="n"/>
      <x:c r="H30" s="122" t="n"/>
    </x:row>
    <x:row r="31">
      <x:c r="A31" s="13" t="n"/>
      <x:c r="B31" s="14" t="n"/>
      <x:c r="C31" s="14" t="n"/>
      <x:c r="D31" s="14" t="n"/>
      <x:c r="E31" s="14" t="n"/>
      <x:c r="F31" s="14" t="n"/>
      <x:c r="G31" s="121" t="n"/>
      <x:c r="H31" s="122" t="n"/>
    </x:row>
    <x:row r="32">
      <x:c r="A32" s="13" t="n"/>
      <x:c r="B32" s="14" t="n"/>
      <x:c r="C32" s="14" t="n"/>
      <x:c r="D32" s="14" t="n"/>
      <x:c r="E32" s="14" t="n"/>
      <x:c r="F32" s="14" t="n"/>
      <x:c r="G32" s="121" t="n"/>
      <x:c r="H32" s="122" t="n"/>
    </x:row>
    <x:row r="33">
      <x:c r="A33" s="13" t="n"/>
      <x:c r="B33" s="14" t="n"/>
      <x:c r="C33" s="14" t="n"/>
      <x:c r="D33" s="14" t="n"/>
      <x:c r="E33" s="14" t="n"/>
      <x:c r="F33" s="14" t="n"/>
      <x:c r="G33" s="121" t="n"/>
      <x:c r="H33" s="122" t="n"/>
    </x:row>
    <x:row r="34">
      <x:c r="A34" s="13" t="n"/>
      <x:c r="B34" s="14" t="n"/>
      <x:c r="C34" s="14" t="n"/>
      <x:c r="D34" s="14" t="n"/>
      <x:c r="E34" s="14" t="n"/>
      <x:c r="F34" s="14" t="n"/>
      <x:c r="G34" s="121" t="n"/>
      <x:c r="H34" s="122" t="n"/>
    </x:row>
    <x:row r="35">
      <x:c r="A35" s="13" t="n"/>
      <x:c r="B35" s="14" t="n"/>
      <x:c r="C35" s="14" t="n"/>
      <x:c r="D35" s="14" t="n"/>
      <x:c r="E35" s="14" t="n"/>
      <x:c r="F35" s="14" t="n"/>
      <x:c r="G35" s="121" t="n"/>
      <x:c r="H35" s="122" t="n"/>
    </x:row>
    <x:row r="36">
      <x:c r="A36" s="13" t="n"/>
      <x:c r="B36" s="14" t="n"/>
      <x:c r="C36" s="14" t="n"/>
      <x:c r="D36" s="14" t="n"/>
      <x:c r="E36" s="14" t="n"/>
      <x:c r="F36" s="14" t="n"/>
      <x:c r="G36" s="121" t="n"/>
      <x:c r="H36" s="122" t="n"/>
    </x:row>
    <x:row r="37">
      <x:c r="A37" s="13" t="n"/>
      <x:c r="B37" s="14" t="n"/>
      <x:c r="C37" s="14" t="n"/>
      <x:c r="D37" s="14" t="n"/>
      <x:c r="E37" s="14" t="n"/>
      <x:c r="F37" s="14" t="n"/>
      <x:c r="G37" s="121" t="n"/>
      <x:c r="H37" s="122" t="n"/>
    </x:row>
    <x:row r="38">
      <x:c r="A38" s="13" t="n"/>
      <x:c r="B38" s="14" t="n"/>
      <x:c r="C38" s="14" t="n"/>
      <x:c r="D38" s="14" t="n"/>
      <x:c r="E38" s="14" t="n"/>
      <x:c r="F38" s="14" t="n"/>
      <x:c r="G38" s="121" t="n"/>
      <x:c r="H38" s="122" t="n"/>
    </x:row>
    <x:row r="39">
      <x:c r="A39" s="13" t="n"/>
      <x:c r="B39" s="14" t="n"/>
      <x:c r="C39" s="14" t="n"/>
      <x:c r="D39" s="14" t="n"/>
      <x:c r="E39" s="14" t="n"/>
      <x:c r="F39" s="14" t="n"/>
      <x:c r="G39" s="121" t="n"/>
      <x:c r="H39" s="122" t="n"/>
    </x:row>
    <x:row r="40">
      <x:c r="A40" s="13" t="n"/>
      <x:c r="B40" s="14" t="n"/>
      <x:c r="C40" s="14" t="n"/>
      <x:c r="D40" s="14" t="n"/>
      <x:c r="E40" s="14" t="n"/>
      <x:c r="F40" s="14" t="n"/>
      <x:c r="G40" s="121" t="n"/>
      <x:c r="H40" s="122" t="n"/>
    </x:row>
    <x:row r="41">
      <x:c r="A41" s="13" t="n"/>
      <x:c r="B41" s="14" t="n"/>
      <x:c r="C41" s="14" t="n"/>
      <x:c r="D41" s="14" t="n"/>
      <x:c r="E41" s="14" t="n"/>
      <x:c r="F41" s="14" t="n"/>
      <x:c r="G41" s="121" t="n"/>
      <x:c r="H41" s="122" t="n"/>
    </x:row>
    <x:row r="42">
      <x:c r="A42" s="13" t="n"/>
      <x:c r="B42" s="14" t="n"/>
      <x:c r="C42" s="14" t="n"/>
      <x:c r="D42" s="14" t="n"/>
      <x:c r="E42" s="14" t="n"/>
      <x:c r="F42" s="14" t="n"/>
      <x:c r="G42" s="121" t="n"/>
      <x:c r="H42" s="122" t="n"/>
    </x:row>
    <x:row r="43">
      <x:c r="A43" s="13" t="n"/>
      <x:c r="B43" s="14" t="n"/>
      <x:c r="C43" s="14" t="n"/>
      <x:c r="D43" s="14" t="n"/>
      <x:c r="E43" s="14" t="n"/>
      <x:c r="F43" s="14" t="n"/>
      <x:c r="G43" s="121" t="n"/>
      <x:c r="H43" s="122" t="n"/>
    </x:row>
    <x:row r="44">
      <x:c r="A44" s="13" t="n"/>
      <x:c r="B44" s="14" t="n"/>
      <x:c r="C44" s="14" t="n"/>
      <x:c r="D44" s="14" t="n"/>
      <x:c r="E44" s="14" t="n"/>
      <x:c r="F44" s="14" t="n"/>
      <x:c r="G44" s="121" t="n"/>
      <x:c r="H44" s="122" t="n"/>
    </x:row>
    <x:row r="45">
      <x:c r="A45" s="13" t="n"/>
      <x:c r="B45" s="14" t="n"/>
      <x:c r="C45" s="14" t="n"/>
      <x:c r="D45" s="14" t="n"/>
      <x:c r="E45" s="14" t="n"/>
      <x:c r="F45" s="14" t="n"/>
      <x:c r="G45" s="121" t="n"/>
      <x:c r="H45" s="122" t="n"/>
    </x:row>
    <x:row r="46">
      <x:c r="A46" s="13" t="n"/>
      <x:c r="B46" s="14" t="n"/>
      <x:c r="C46" s="14" t="n"/>
      <x:c r="D46" s="14" t="n"/>
      <x:c r="E46" s="14" t="n"/>
      <x:c r="F46" s="14" t="n"/>
      <x:c r="G46" s="121" t="n"/>
      <x:c r="H46" s="122" t="n"/>
    </x:row>
    <x:row r="47">
      <x:c r="A47" s="13" t="n"/>
      <x:c r="B47" s="14" t="n"/>
      <x:c r="C47" s="14" t="n"/>
      <x:c r="D47" s="14" t="n"/>
      <x:c r="E47" s="14" t="n"/>
      <x:c r="F47" s="14" t="n"/>
      <x:c r="G47" s="121" t="n"/>
      <x:c r="H47" s="122" t="n"/>
    </x:row>
    <x:row r="48">
      <x:c r="A48" s="13" t="n"/>
      <x:c r="B48" s="14" t="n"/>
      <x:c r="C48" s="14" t="n"/>
      <x:c r="D48" s="14" t="n"/>
      <x:c r="E48" s="14" t="n"/>
      <x:c r="F48" s="14" t="n"/>
      <x:c r="G48" s="121" t="n"/>
      <x:c r="H48" s="122" t="n"/>
    </x:row>
    <x:row r="49">
      <x:c r="A49" s="13" t="n"/>
      <x:c r="B49" s="14" t="n"/>
      <x:c r="C49" s="14" t="n"/>
      <x:c r="D49" s="14" t="n"/>
      <x:c r="E49" s="14" t="n"/>
      <x:c r="F49" s="14" t="n"/>
      <x:c r="G49" s="121" t="n"/>
      <x:c r="H49" s="122" t="n"/>
    </x:row>
    <x:row r="50">
      <x:c r="A50" s="13" t="n"/>
      <x:c r="B50" s="14" t="n"/>
      <x:c r="C50" s="14" t="n"/>
      <x:c r="D50" s="14" t="n"/>
      <x:c r="E50" s="14" t="n"/>
      <x:c r="F50" s="14" t="n"/>
      <x:c r="G50" s="121" t="n"/>
      <x:c r="H50" s="122" t="n"/>
    </x:row>
    <x:row r="51">
      <x:c r="A51" s="13" t="n"/>
      <x:c r="B51" s="14" t="n"/>
      <x:c r="C51" s="14" t="n"/>
      <x:c r="D51" s="14" t="n"/>
      <x:c r="E51" s="14" t="n"/>
      <x:c r="F51" s="14" t="n"/>
      <x:c r="G51" s="121" t="n"/>
      <x:c r="H51" s="122" t="n"/>
    </x:row>
    <x:row r="52">
      <x:c r="A52" s="13" t="n"/>
      <x:c r="B52" s="14" t="n"/>
      <x:c r="C52" s="14" t="n"/>
      <x:c r="D52" s="14" t="n"/>
      <x:c r="E52" s="14" t="n"/>
      <x:c r="F52" s="14" t="n"/>
      <x:c r="G52" s="121" t="n"/>
      <x:c r="H52" s="122" t="n"/>
    </x:row>
    <x:row r="53">
      <x:c r="A53" s="13" t="n"/>
      <x:c r="B53" s="14" t="n"/>
      <x:c r="C53" s="14" t="n"/>
      <x:c r="D53" s="14" t="n"/>
      <x:c r="E53" s="14" t="n"/>
      <x:c r="F53" s="14" t="n"/>
      <x:c r="G53" s="121" t="n"/>
      <x:c r="H53" s="122" t="n"/>
    </x:row>
    <x:row r="54">
      <x:c r="A54" s="13" t="n"/>
      <x:c r="B54" s="14" t="n"/>
      <x:c r="C54" s="14" t="n"/>
      <x:c r="D54" s="14" t="n"/>
      <x:c r="E54" s="14" t="n"/>
      <x:c r="F54" s="14" t="n"/>
      <x:c r="G54" s="121" t="n"/>
      <x:c r="H54" s="122" t="n"/>
    </x:row>
    <x:row r="55">
      <x:c r="A55" s="13" t="n"/>
      <x:c r="B55" s="14" t="n"/>
      <x:c r="C55" s="14" t="n"/>
      <x:c r="D55" s="14" t="n"/>
      <x:c r="E55" s="14" t="n"/>
      <x:c r="F55" s="14" t="n"/>
      <x:c r="G55" s="121" t="n"/>
      <x:c r="H55" s="122" t="n"/>
    </x:row>
    <x:row r="56">
      <x:c r="A56" s="13" t="n"/>
      <x:c r="B56" s="14" t="n"/>
      <x:c r="C56" s="14" t="n"/>
      <x:c r="D56" s="14" t="n"/>
      <x:c r="E56" s="14" t="n"/>
      <x:c r="F56" s="14" t="n"/>
      <x:c r="G56" s="121" t="n"/>
      <x:c r="H56" s="122" t="n"/>
    </x:row>
    <x:row r="57">
      <x:c r="A57" s="13" t="n"/>
      <x:c r="B57" s="14" t="n"/>
      <x:c r="C57" s="14" t="n"/>
      <x:c r="D57" s="14" t="n"/>
      <x:c r="E57" s="14" t="n"/>
      <x:c r="F57" s="14" t="n"/>
      <x:c r="G57" s="121" t="n"/>
      <x:c r="H57" s="122" t="n"/>
    </x:row>
    <x:row r="58">
      <x:c r="A58" s="13" t="n"/>
      <x:c r="B58" s="14" t="n"/>
      <x:c r="C58" s="14" t="n"/>
      <x:c r="D58" s="14" t="n"/>
      <x:c r="E58" s="14" t="n"/>
      <x:c r="F58" s="14" t="n"/>
      <x:c r="G58" s="121" t="n"/>
      <x:c r="H58" s="122" t="n"/>
    </x:row>
    <x:row r="59">
      <x:c r="A59" s="13" t="n"/>
      <x:c r="B59" s="14" t="n"/>
      <x:c r="C59" s="14" t="n"/>
      <x:c r="D59" s="14" t="n"/>
      <x:c r="E59" s="14" t="n"/>
      <x:c r="F59" s="14" t="n"/>
      <x:c r="G59" s="121" t="n"/>
      <x:c r="H59" s="122" t="n"/>
    </x:row>
    <x:row r="60">
      <x:c r="A60" s="13" t="n"/>
      <x:c r="B60" s="14" t="n"/>
      <x:c r="C60" s="14" t="n"/>
      <x:c r="D60" s="14" t="n"/>
      <x:c r="E60" s="14" t="n"/>
      <x:c r="F60" s="14" t="n"/>
      <x:c r="G60" s="121" t="n"/>
      <x:c r="H60" s="122" t="n"/>
    </x:row>
    <x:row r="61">
      <x:c r="A61" s="13" t="n"/>
      <x:c r="B61" s="14" t="n"/>
      <x:c r="C61" s="14" t="n"/>
      <x:c r="D61" s="14" t="n"/>
      <x:c r="E61" s="14" t="n"/>
      <x:c r="F61" s="14" t="n"/>
      <x:c r="G61" s="121" t="n"/>
      <x:c r="H61" s="122" t="n"/>
    </x:row>
    <x:row r="62">
      <x:c r="A62" s="13" t="n"/>
      <x:c r="B62" s="14" t="n"/>
      <x:c r="C62" s="14" t="n"/>
      <x:c r="D62" s="14" t="n"/>
      <x:c r="E62" s="14" t="n"/>
      <x:c r="F62" s="14" t="n"/>
      <x:c r="G62" s="121" t="n"/>
      <x:c r="H62" s="122" t="n"/>
    </x:row>
    <x:row r="63">
      <x:c r="A63" s="13" t="n"/>
      <x:c r="B63" s="14" t="n"/>
      <x:c r="C63" s="14" t="n"/>
      <x:c r="D63" s="14" t="n"/>
      <x:c r="E63" s="14" t="n"/>
      <x:c r="F63" s="14" t="n"/>
      <x:c r="G63" s="121" t="n"/>
      <x:c r="H63" s="122" t="n"/>
    </x:row>
    <x:row r="64">
      <x:c r="A64" s="13" t="n"/>
      <x:c r="B64" s="14" t="n"/>
      <x:c r="C64" s="14" t="n"/>
      <x:c r="D64" s="14" t="n"/>
      <x:c r="E64" s="14" t="n"/>
      <x:c r="F64" s="14" t="n"/>
      <x:c r="G64" s="121" t="n"/>
      <x:c r="H64" s="122" t="n"/>
    </x:row>
    <x:row r="65">
      <x:c r="A65" s="13" t="n"/>
      <x:c r="B65" s="14" t="n"/>
      <x:c r="C65" s="14" t="n"/>
      <x:c r="D65" s="14" t="n"/>
      <x:c r="E65" s="14" t="n"/>
      <x:c r="F65" s="14" t="n"/>
      <x:c r="G65" s="121" t="n"/>
      <x:c r="H65" s="122" t="n"/>
    </x:row>
    <x:row r="66">
      <x:c r="A66" s="13" t="n"/>
      <x:c r="B66" s="14" t="n"/>
      <x:c r="C66" s="14" t="n"/>
      <x:c r="D66" s="14" t="n"/>
      <x:c r="E66" s="14" t="n"/>
      <x:c r="F66" s="14" t="n"/>
      <x:c r="G66" s="121" t="n"/>
      <x:c r="H66" s="122" t="n"/>
    </x:row>
    <x:row r="67">
      <x:c r="A67" s="13" t="n"/>
      <x:c r="B67" s="14" t="n"/>
      <x:c r="C67" s="14" t="n"/>
      <x:c r="D67" s="14" t="n"/>
      <x:c r="E67" s="14" t="n"/>
      <x:c r="F67" s="14" t="n"/>
      <x:c r="G67" s="121" t="n"/>
      <x:c r="H67" s="122" t="n"/>
    </x:row>
    <x:row r="68">
      <x:c r="A68" s="13" t="n"/>
      <x:c r="B68" s="14" t="n"/>
      <x:c r="C68" s="14" t="n"/>
      <x:c r="D68" s="14" t="n"/>
      <x:c r="E68" s="14" t="n"/>
      <x:c r="F68" s="14" t="n"/>
      <x:c r="G68" s="121" t="n"/>
      <x:c r="H68" s="122" t="n"/>
    </x:row>
    <x:row r="69">
      <x:c r="A69" s="13" t="n"/>
      <x:c r="B69" s="14" t="n"/>
      <x:c r="C69" s="14" t="n"/>
      <x:c r="D69" s="14" t="n"/>
      <x:c r="E69" s="14" t="n"/>
      <x:c r="F69" s="14" t="n"/>
      <x:c r="G69" s="121" t="n"/>
      <x:c r="H69" s="122" t="n"/>
    </x:row>
    <x:row r="70">
      <x:c r="A70" s="13" t="n"/>
      <x:c r="B70" s="14" t="n"/>
      <x:c r="C70" s="14" t="n"/>
      <x:c r="D70" s="14" t="n"/>
      <x:c r="E70" s="14" t="n"/>
      <x:c r="F70" s="14" t="n"/>
      <x:c r="G70" s="121" t="n"/>
      <x:c r="H70" s="122" t="n"/>
    </x:row>
    <x:row r="71">
      <x:c r="A71" s="13" t="n"/>
      <x:c r="B71" s="14" t="n"/>
      <x:c r="C71" s="14" t="n"/>
      <x:c r="D71" s="14" t="n"/>
      <x:c r="E71" s="14" t="n"/>
      <x:c r="F71" s="14" t="n"/>
      <x:c r="G71" s="121" t="n"/>
      <x:c r="H71" s="122" t="n"/>
    </x:row>
    <x:row r="72">
      <x:c r="A72" s="13" t="n"/>
      <x:c r="B72" s="14" t="n"/>
      <x:c r="C72" s="14" t="n"/>
      <x:c r="D72" s="14" t="n"/>
      <x:c r="E72" s="14" t="n"/>
      <x:c r="F72" s="14" t="n"/>
      <x:c r="G72" s="121" t="n"/>
      <x:c r="H72" s="122" t="n"/>
    </x:row>
    <x:row r="73">
      <x:c r="A73" s="13" t="n"/>
      <x:c r="B73" s="14" t="n"/>
      <x:c r="C73" s="14" t="n"/>
      <x:c r="D73" s="14" t="n"/>
      <x:c r="E73" s="14" t="n"/>
      <x:c r="F73" s="14" t="n"/>
      <x:c r="G73" s="121" t="n"/>
      <x:c r="H73" s="122" t="n"/>
    </x:row>
    <x:row r="74">
      <x:c r="A74" s="13" t="n"/>
      <x:c r="B74" s="14" t="n"/>
      <x:c r="C74" s="14" t="n"/>
      <x:c r="D74" s="14" t="n"/>
      <x:c r="E74" s="14" t="n"/>
      <x:c r="F74" s="14" t="n"/>
      <x:c r="G74" s="121" t="n"/>
      <x:c r="H74" s="122" t="n"/>
    </x:row>
    <x:row r="75">
      <x:c r="A75" s="13" t="n"/>
      <x:c r="B75" s="14" t="n"/>
      <x:c r="C75" s="14" t="n"/>
      <x:c r="D75" s="14" t="n"/>
      <x:c r="E75" s="14" t="n"/>
      <x:c r="F75" s="14" t="n"/>
      <x:c r="G75" s="121" t="n"/>
      <x:c r="H75" s="122" t="n"/>
    </x:row>
    <x:row r="76">
      <x:c r="A76" s="13" t="n"/>
      <x:c r="B76" s="14" t="n"/>
      <x:c r="C76" s="14" t="n"/>
      <x:c r="D76" s="14" t="n"/>
      <x:c r="E76" s="14" t="n"/>
      <x:c r="F76" s="14" t="n"/>
      <x:c r="G76" s="121" t="n"/>
      <x:c r="H76" s="122" t="n"/>
    </x:row>
    <x:row r="77">
      <x:c r="A77" s="13" t="n"/>
      <x:c r="B77" s="14" t="n"/>
      <x:c r="C77" s="14" t="n"/>
      <x:c r="D77" s="14" t="n"/>
      <x:c r="E77" s="14" t="n"/>
      <x:c r="F77" s="14" t="n"/>
      <x:c r="G77" s="121" t="n"/>
      <x:c r="H77" s="122" t="n"/>
    </x:row>
    <x:row r="78">
      <x:c r="A78" s="13" t="n"/>
      <x:c r="B78" s="14" t="n"/>
      <x:c r="C78" s="14" t="n"/>
      <x:c r="D78" s="14" t="n"/>
      <x:c r="E78" s="14" t="n"/>
      <x:c r="F78" s="14" t="n"/>
      <x:c r="G78" s="121" t="n"/>
      <x:c r="H78" s="122" t="n"/>
    </x:row>
    <x:row r="79">
      <x:c r="A79" s="13" t="n"/>
      <x:c r="B79" s="14" t="n"/>
      <x:c r="C79" s="14" t="n"/>
      <x:c r="D79" s="14" t="n"/>
      <x:c r="E79" s="14" t="n"/>
      <x:c r="F79" s="14" t="n"/>
      <x:c r="G79" s="121" t="n"/>
      <x:c r="H79" s="122" t="n"/>
    </x:row>
    <x:row r="80">
      <x:c r="A80" s="16" t="n"/>
      <x:c r="B80" s="17" t="n"/>
      <x:c r="C80" s="17" t="n"/>
      <x:c r="D80" s="17" t="n"/>
      <x:c r="E80" s="17" t="n"/>
      <x:c r="F80" s="17" t="n"/>
      <x:c r="G80" s="127" t="n"/>
      <x:c r="H80" s="128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4" customWidth="1"/>
    <x:col min="3" max="3" width="14" customWidth="1"/>
    <x:col min="4" max="4" width="14" customWidth="1"/>
    <x:col min="5" max="5" width="14" customWidth="1"/>
    <x:col min="6" max="6" width="34" customWidth="1"/>
    <x:col min="7" max="7" width="38" customWidth="1"/>
    <x:col min="8" max="8" width="38" customWidth="1"/>
  </x:cols>
  <x:sheetData>
    <x:row r="1">
      <x:c r="A1" s="107" t="inlineStr">
        <x:is>
          <x:t xml:space="preserve">07 Caja, CAPEX y working capital</x:t>
        </x:is>
      </x:c>
      <x:c r="B1" s="108" t="str"/>
      <x:c r="C1" s="108" t="str"/>
      <x:c r="D1" s="108" t="str"/>
      <x:c r="E1" s="108" t="str"/>
      <x:c r="F1" s="109" t="str"/>
      <x:c r="G1" s="119" t="n"/>
      <x:c r="H1" s="120" t="n"/>
    </x:row>
    <x:row r="2">
      <x:c r="A2" s="111" t="inlineStr">
        <x:is>
          <x:t xml:space="preserve">FCF antes de financiacion y caja final. EUR M.</x:t>
        </x:is>
      </x:c>
      <x:c r="B2" s="112" t="str"/>
      <x:c r="C2" s="112" t="str"/>
      <x:c r="D2" s="112" t="str"/>
      <x:c r="E2" s="112" t="str"/>
      <x:c r="F2" s="112" t="str"/>
      <x:c r="G2" s="121" t="n"/>
      <x:c r="H2" s="122" t="n"/>
    </x:row>
    <x:row r="3">
      <x:c r="A3" s="13" t="str"/>
      <x:c r="B3" s="14" t="str"/>
      <x:c r="C3" s="14" t="str"/>
      <x:c r="D3" s="14" t="str"/>
      <x:c r="E3" s="14" t="str"/>
      <x:c r="F3" s="14" t="str"/>
      <x:c r="G3" s="121" t="n"/>
      <x:c r="H3" s="122" t="n"/>
    </x:row>
    <x:row r="4">
      <x:c r="A4" s="13" t="n"/>
      <x:c r="B4" s="14" t="n"/>
      <x:c r="C4" s="14" t="n"/>
      <x:c r="D4" s="14" t="n"/>
      <x:c r="E4" s="14" t="n"/>
      <x:c r="F4" s="14" t="n"/>
      <x:c r="G4" s="121" t="n"/>
      <x:c r="H4" s="122" t="n"/>
    </x:row>
    <x:row r="5">
      <x:c r="A5" s="114" t="inlineStr">
        <x:is>
          <x:t xml:space="preserve">Concepto</x:t>
        </x:is>
      </x:c>
      <x:c r="B5" s="159" t="inlineStr">
        <x:is>
          <x:t xml:space="preserve">2026/27</x:t>
        </x:is>
      </x:c>
      <x:c r="C5" s="159" t="inlineStr">
        <x:is>
          <x:t xml:space="preserve">2028</x:t>
        </x:is>
      </x:c>
      <x:c r="D5" s="159" t="inlineStr">
        <x:is>
          <x:t xml:space="preserve">2029</x:t>
        </x:is>
      </x:c>
      <x:c r="E5" s="159" t="inlineStr">
        <x:is>
          <x:t xml:space="preserve">2030</x:t>
        </x:is>
      </x:c>
      <x:c r="F5" s="115" t="inlineStr">
        <x:is>
          <x:t xml:space="preserve">Notas / driver</x:t>
        </x:is>
      </x:c>
      <x:c r="G5" s="121" t="n"/>
      <x:c r="H5" s="122" t="n"/>
    </x:row>
    <x:row r="6">
      <x:c r="A6" s="13" t="inlineStr">
        <x:is>
          <x:t xml:space="preserve">EBITDA</x:t>
        </x:is>
      </x:c>
      <x:c r="B6" s="163" t="n">
        <x:f>'06_Cuenta_Resultados'!B22</x:f>
        <x:v>0.5393410353600006</x:v>
      </x:c>
      <x:c r="C6" s="163" t="n">
        <x:f>'06_Cuenta_Resultados'!C22</x:f>
        <x:v>17.78017566770133</x:v>
      </x:c>
      <x:c r="D6" s="163" t="n">
        <x:f>'06_Cuenta_Resultados'!D22</x:f>
        <x:v>45.42076133260134</x:v>
      </x:c>
      <x:c r="E6" s="163" t="n">
        <x:f>'06_Cuenta_Resultados'!E22</x:f>
        <x:v>107.87732321560401</x:v>
      </x:c>
      <x:c r="F6" s="14" t="inlineStr">
        <x:is>
          <x:t xml:space="preserve">Desde cuenta de resultados</x:t>
        </x:is>
      </x:c>
      <x:c r="G6" s="121" t="n"/>
      <x:c r="H6" s="122" t="n"/>
    </x:row>
    <x:row r="7">
      <x:c r="A7" s="13" t="inlineStr">
        <x:is>
          <x:t xml:space="preserve">Ingresos</x:t>
        </x:is>
      </x:c>
      <x:c r="B7" s="163" t="n">
        <x:f>'02_Detalle_Ingresos'!B42</x:f>
        <x:v>9.567028</x:v>
      </x:c>
      <x:c r="C7" s="163" t="n">
        <x:f>'02_Detalle_Ingresos'!C42</x:f>
        <x:v>43.86780639999999</x:v>
      </x:c>
      <x:c r="D7" s="163" t="n">
        <x:f>'02_Detalle_Ingresos'!D42</x:f>
        <x:v>94.41890556666667</x:v>
      </x:c>
      <x:c r="E7" s="163" t="n">
        <x:f>'02_Detalle_Ingresos'!E42</x:f>
        <x:v>192.02824003333333</x:v>
      </x:c>
      <x:c r="F7" s="14" t="inlineStr">
        <x:is>
          <x:t xml:space="preserve">Desde Detalle de ingresos</x:t>
        </x:is>
      </x:c>
      <x:c r="G7" s="121" t="n"/>
      <x:c r="H7" s="122" t="n"/>
    </x:row>
    <x:row r="8">
      <x:c r="A8" s="13" t="inlineStr">
        <x:is>
          <x:t xml:space="preserve">Crecimiento ingresos</x:t>
        </x:is>
      </x:c>
      <x:c r="B8" s="163" t="n">
        <x:f>B7</x:f>
        <x:v>9.567028</x:v>
      </x:c>
      <x:c r="C8" s="163" t="n">
        <x:f>C7-B7</x:f>
        <x:v>34.30077839999999</x:v>
      </x:c>
      <x:c r="D8" s="163" t="n">
        <x:f>D7-C7</x:f>
        <x:v>50.551099166666674</x:v>
      </x:c>
      <x:c r="E8" s="163" t="n">
        <x:f>E7-D7</x:f>
        <x:v>97.60933446666667</x:v>
      </x:c>
      <x:c r="F8" s="14" t="inlineStr">
        <x:is>
          <x:t xml:space="preserve">Primer periodo usa ingresos del periodo; siguientes son variacion vs periodo anterior.</x:t>
        </x:is>
      </x:c>
      <x:c r="G8" s="121" t="n"/>
      <x:c r="H8" s="122" t="n"/>
    </x:row>
    <x:row r="9">
      <x:c r="A9" s="13" t="inlineStr">
        <x:is>
          <x:t xml:space="preserve">Working capital incremental</x:t>
        </x:is>
      </x:c>
      <x:c r="B9" s="163" t="n">
        <x:f>-MAX(0,B8)*'01_Supuestos'!B56</x:f>
        <x:v>-1.4350542</x:v>
      </x:c>
      <x:c r="C9" s="163" t="n">
        <x:f>-MAX(0,C8)*'01_Supuestos'!C56</x:f>
        <x:v>-5.488124543999999</x:v>
      </x:c>
      <x:c r="D9" s="163" t="n">
        <x:f>-MAX(0,D8)*'01_Supuestos'!D56</x:f>
        <x:v>-8.593686858333335</x:v>
      </x:c>
      <x:c r="E9" s="163" t="n">
        <x:f>-MAX(0,E8)*'01_Supuestos'!E56</x:f>
        <x:v>-17.569680204</x:v>
      </x:c>
      <x:c r="F9" s="14" t="inlineStr">
        <x:is>
          <x:t xml:space="preserve">Crecimiento positivo x WC %</x:t>
        </x:is>
      </x:c>
      <x:c r="G9" s="121" t="n"/>
      <x:c r="H9" s="122" t="n"/>
    </x:row>
    <x:row r="10">
      <x:c r="A10" s="13" t="inlineStr">
        <x:is>
          <x:t xml:space="preserve">Capex</x:t>
        </x:is>
      </x:c>
      <x:c r="B10" s="163" t="n">
        <x:f>-'01_Supuestos'!B57</x:f>
        <x:v>-2</x:v>
      </x:c>
      <x:c r="C10" s="163" t="n">
        <x:f>-'01_Supuestos'!C57</x:f>
        <x:v>-2.5</x:v>
      </x:c>
      <x:c r="D10" s="163" t="n">
        <x:f>-'01_Supuestos'!D57</x:f>
        <x:v>-3</x:v>
      </x:c>
      <x:c r="E10" s="163" t="n">
        <x:f>-'01_Supuestos'!E57</x:f>
        <x:v>-4</x:v>
      </x:c>
      <x:c r="F10" s="14" t="inlineStr">
        <x:is>
          <x:t xml:space="preserve">Desde supuestos</x:t>
        </x:is>
      </x:c>
      <x:c r="G10" s="121" t="n"/>
      <x:c r="H10" s="122" t="n"/>
    </x:row>
    <x:row r="11">
      <x:c r="A11" s="13" t="inlineStr">
        <x:is>
          <x:t xml:space="preserve">Impuestos pagados</x:t>
        </x:is>
      </x:c>
      <x:c r="B11" s="163" t="n">
        <x:f>'06_Cuenta_Resultados'!B28</x:f>
        <x:v>0</x:v>
      </x:c>
      <x:c r="C11" s="163" t="n">
        <x:f>'06_Cuenta_Resultados'!C28</x:f>
        <x:v>-4.231293916925332</x:v>
      </x:c>
      <x:c r="D11" s="163" t="n">
        <x:f>'06_Cuenta_Resultados'!D28</x:f>
        <x:v>-11.080190333150334</x:v>
      </x:c>
      <x:c r="E11" s="163" t="n">
        <x:f>'06_Cuenta_Resultados'!E28</x:f>
        <x:v>-26.581830803901003</x:v>
      </x:c>
      <x:c r="F11" s="14" t="inlineStr">
        <x:is>
          <x:t xml:space="preserve">Desde cuenta de resultados</x:t>
        </x:is>
      </x:c>
      <x:c r="G11" s="121" t="n"/>
      <x:c r="H11" s="122" t="n"/>
    </x:row>
    <x:row r="12">
      <x:c r="A12" s="161" t="inlineStr">
        <x:is>
          <x:t xml:space="preserve">FCF antes financiacion</x:t>
        </x:is>
      </x:c>
      <x:c r="B12" s="154" t="n">
        <x:f>SUM(B6,B9:B11)</x:f>
        <x:v>-2.895713164639999</x:v>
      </x:c>
      <x:c r="C12" s="154" t="n">
        <x:f>SUM(C6,C9:C11)</x:f>
        <x:v>5.560757206775998</x:v>
      </x:c>
      <x:c r="D12" s="154" t="n">
        <x:f>SUM(D6,D9:D11)</x:f>
        <x:v>22.74688414111767</x:v>
      </x:c>
      <x:c r="E12" s="154" t="n">
        <x:f>SUM(E6,E9:E11)</x:f>
        <x:v>59.725812207703</x:v>
      </x:c>
      <x:c r="F12" s="154" t="inlineStr">
        <x:is>
          <x:t xml:space="preserve">EBITDA - WC - capex - impuestos</x:t>
        </x:is>
      </x:c>
      <x:c r="G12" s="121" t="n"/>
      <x:c r="H12" s="122" t="n"/>
    </x:row>
    <x:row r="13">
      <x:c r="A13" s="13" t="inlineStr">
        <x:is>
          <x:t xml:space="preserve">Financiacion</x:t>
        </x:is>
      </x:c>
      <x:c r="B13" s="163" t="n">
        <x:f>'01_Supuestos'!B59</x:f>
        <x:v>3</x:v>
      </x:c>
      <x:c r="C13" s="163" t="n">
        <x:f>'01_Supuestos'!C59</x:f>
        <x:v>1.5</x:v>
      </x:c>
      <x:c r="D13" s="163" t="n">
        <x:f>'01_Supuestos'!D59</x:f>
        <x:v>0</x:v>
      </x:c>
      <x:c r="E13" s="163" t="n">
        <x:f>'01_Supuestos'!E59</x:f>
        <x:v>0</x:v>
      </x:c>
      <x:c r="F13" s="14" t="inlineStr">
        <x:is>
          <x:t xml:space="preserve">Separada de EBITDA/FCF operativo</x:t>
        </x:is>
      </x:c>
      <x:c r="G13" s="121" t="n"/>
      <x:c r="H13" s="122" t="n"/>
    </x:row>
    <x:row r="14">
      <x:c r="A14" s="13" t="inlineStr">
        <x:is>
          <x:t xml:space="preserve">Flujo neto caja</x:t>
        </x:is>
      </x:c>
      <x:c r="B14" s="163" t="n">
        <x:f>B12+B13</x:f>
        <x:v>0.10428683536000083</x:v>
      </x:c>
      <x:c r="C14" s="163" t="n">
        <x:f>C12+C13</x:f>
        <x:v>7.060757206775998</x:v>
      </x:c>
      <x:c r="D14" s="163" t="n">
        <x:f>D12+D13</x:f>
        <x:v>22.74688414111767</x:v>
      </x:c>
      <x:c r="E14" s="163" t="n">
        <x:f>E12+E13</x:f>
        <x:v>59.725812207703</x:v>
      </x:c>
      <x:c r="F14" s="14" t="inlineStr">
        <x:is>
          <x:t xml:space="preserve">FCF + financiacion</x:t>
        </x:is>
      </x:c>
      <x:c r="G14" s="121" t="n"/>
      <x:c r="H14" s="122" t="n"/>
    </x:row>
    <x:row r="15">
      <x:c r="A15" s="161" t="inlineStr">
        <x:is>
          <x:t xml:space="preserve">Caja final</x:t>
        </x:is>
      </x:c>
      <x:c r="B15" s="154" t="n">
        <x:f>B14</x:f>
        <x:v>0.10428683536000083</x:v>
      </x:c>
      <x:c r="C15" s="154" t="n">
        <x:f>B15+C14</x:f>
        <x:v>7.165044042135999</x:v>
      </x:c>
      <x:c r="D15" s="154" t="n">
        <x:f>C15+D14</x:f>
        <x:v>29.911928183253668</x:v>
      </x:c>
      <x:c r="E15" s="154" t="n">
        <x:f>D15+E14</x:f>
        <x:v>89.63774039095667</x:v>
      </x:c>
      <x:c r="F15" s="154" t="inlineStr">
        <x:is>
          <x:t xml:space="preserve">Caja acumulada</x:t>
        </x:is>
      </x:c>
      <x:c r="G15" s="121" t="n"/>
      <x:c r="H15" s="122" t="n"/>
    </x:row>
    <x:row r="16">
      <x:c r="A16" s="13" t="n"/>
      <x:c r="B16" s="14" t="n"/>
      <x:c r="C16" s="14" t="n"/>
      <x:c r="D16" s="14" t="n"/>
      <x:c r="E16" s="14" t="n"/>
      <x:c r="F16" s="14" t="n"/>
      <x:c r="G16" s="121" t="n"/>
      <x:c r="H16" s="122" t="n"/>
    </x:row>
    <x:row r="17">
      <x:c r="A17" s="13" t="n"/>
      <x:c r="B17" s="14" t="n"/>
      <x:c r="C17" s="14" t="n"/>
      <x:c r="D17" s="14" t="n"/>
      <x:c r="E17" s="14" t="n"/>
      <x:c r="F17" s="14" t="n"/>
      <x:c r="G17" s="121" t="n"/>
      <x:c r="H17" s="122" t="n"/>
    </x:row>
    <x:row r="18">
      <x:c r="A18" s="13" t="n"/>
      <x:c r="B18" s="14" t="n"/>
      <x:c r="C18" s="14" t="n"/>
      <x:c r="D18" s="14" t="n"/>
      <x:c r="E18" s="14" t="n"/>
      <x:c r="F18" s="14" t="n"/>
      <x:c r="G18" s="121" t="n"/>
      <x:c r="H18" s="122" t="n"/>
    </x:row>
    <x:row r="19">
      <x:c r="A19" s="13" t="n"/>
      <x:c r="B19" s="14" t="n"/>
      <x:c r="C19" s="14" t="n"/>
      <x:c r="D19" s="14" t="n"/>
      <x:c r="E19" s="14" t="n"/>
      <x:c r="F19" s="14" t="n"/>
      <x:c r="G19" s="121" t="n"/>
      <x:c r="H19" s="122" t="n"/>
    </x:row>
    <x:row r="20">
      <x:c r="A20" s="13" t="n"/>
      <x:c r="B20" s="14" t="n"/>
      <x:c r="C20" s="14" t="n"/>
      <x:c r="D20" s="14" t="n"/>
      <x:c r="E20" s="14" t="n"/>
      <x:c r="F20" s="14" t="n"/>
      <x:c r="G20" s="121" t="n"/>
      <x:c r="H20" s="122" t="n"/>
    </x:row>
    <x:row r="21">
      <x:c r="A21" s="13" t="n"/>
      <x:c r="B21" s="14" t="n"/>
      <x:c r="C21" s="14" t="n"/>
      <x:c r="D21" s="14" t="n"/>
      <x:c r="E21" s="14" t="n"/>
      <x:c r="F21" s="14" t="n"/>
      <x:c r="G21" s="121" t="n"/>
      <x:c r="H21" s="122" t="n"/>
    </x:row>
    <x:row r="22">
      <x:c r="A22" s="13" t="n"/>
      <x:c r="B22" s="14" t="n"/>
      <x:c r="C22" s="14" t="n"/>
      <x:c r="D22" s="14" t="n"/>
      <x:c r="E22" s="14" t="n"/>
      <x:c r="F22" s="14" t="n"/>
      <x:c r="G22" s="121" t="n"/>
      <x:c r="H22" s="122" t="n"/>
    </x:row>
    <x:row r="23">
      <x:c r="A23" s="13" t="n"/>
      <x:c r="B23" s="14" t="n"/>
      <x:c r="C23" s="14" t="n"/>
      <x:c r="D23" s="14" t="n"/>
      <x:c r="E23" s="14" t="n"/>
      <x:c r="F23" s="14" t="n"/>
      <x:c r="G23" s="121" t="n"/>
      <x:c r="H23" s="122" t="n"/>
    </x:row>
    <x:row r="24">
      <x:c r="A24" s="13" t="n"/>
      <x:c r="B24" s="14" t="n"/>
      <x:c r="C24" s="14" t="n"/>
      <x:c r="D24" s="14" t="n"/>
      <x:c r="E24" s="14" t="n"/>
      <x:c r="F24" s="14" t="n"/>
      <x:c r="G24" s="121" t="n"/>
      <x:c r="H24" s="122" t="n"/>
    </x:row>
    <x:row r="25">
      <x:c r="A25" s="13" t="n"/>
      <x:c r="B25" s="14" t="n"/>
      <x:c r="C25" s="14" t="n"/>
      <x:c r="D25" s="14" t="n"/>
      <x:c r="E25" s="14" t="n"/>
      <x:c r="F25" s="14" t="n"/>
      <x:c r="G25" s="121" t="n"/>
      <x:c r="H25" s="122" t="n"/>
    </x:row>
    <x:row r="26">
      <x:c r="A26" s="13" t="n"/>
      <x:c r="B26" s="14" t="n"/>
      <x:c r="C26" s="14" t="n"/>
      <x:c r="D26" s="14" t="n"/>
      <x:c r="E26" s="14" t="n"/>
      <x:c r="F26" s="14" t="n"/>
      <x:c r="G26" s="121" t="n"/>
      <x:c r="H26" s="122" t="n"/>
    </x:row>
    <x:row r="27">
      <x:c r="A27" s="13" t="n"/>
      <x:c r="B27" s="14" t="n"/>
      <x:c r="C27" s="14" t="n"/>
      <x:c r="D27" s="14" t="n"/>
      <x:c r="E27" s="14" t="n"/>
      <x:c r="F27" s="14" t="n"/>
      <x:c r="G27" s="121" t="n"/>
      <x:c r="H27" s="122" t="n"/>
    </x:row>
    <x:row r="28">
      <x:c r="A28" s="13" t="n"/>
      <x:c r="B28" s="14" t="n"/>
      <x:c r="C28" s="14" t="n"/>
      <x:c r="D28" s="14" t="n"/>
      <x:c r="E28" s="14" t="n"/>
      <x:c r="F28" s="14" t="n"/>
      <x:c r="G28" s="121" t="n"/>
      <x:c r="H28" s="122" t="n"/>
    </x:row>
    <x:row r="29">
      <x:c r="A29" s="13" t="n"/>
      <x:c r="B29" s="14" t="n"/>
      <x:c r="C29" s="14" t="n"/>
      <x:c r="D29" s="14" t="n"/>
      <x:c r="E29" s="14" t="n"/>
      <x:c r="F29" s="14" t="n"/>
      <x:c r="G29" s="121" t="n"/>
      <x:c r="H29" s="122" t="n"/>
    </x:row>
    <x:row r="30">
      <x:c r="A30" s="13" t="n"/>
      <x:c r="B30" s="14" t="n"/>
      <x:c r="C30" s="14" t="n"/>
      <x:c r="D30" s="14" t="n"/>
      <x:c r="E30" s="14" t="n"/>
      <x:c r="F30" s="14" t="n"/>
      <x:c r="G30" s="121" t="n"/>
      <x:c r="H30" s="122" t="n"/>
    </x:row>
    <x:row r="31">
      <x:c r="A31" s="13" t="n"/>
      <x:c r="B31" s="14" t="n"/>
      <x:c r="C31" s="14" t="n"/>
      <x:c r="D31" s="14" t="n"/>
      <x:c r="E31" s="14" t="n"/>
      <x:c r="F31" s="14" t="n"/>
      <x:c r="G31" s="121" t="n"/>
      <x:c r="H31" s="122" t="n"/>
    </x:row>
    <x:row r="32">
      <x:c r="A32" s="13" t="n"/>
      <x:c r="B32" s="14" t="n"/>
      <x:c r="C32" s="14" t="n"/>
      <x:c r="D32" s="14" t="n"/>
      <x:c r="E32" s="14" t="n"/>
      <x:c r="F32" s="14" t="n"/>
      <x:c r="G32" s="121" t="n"/>
      <x:c r="H32" s="122" t="n"/>
    </x:row>
    <x:row r="33">
      <x:c r="A33" s="13" t="n"/>
      <x:c r="B33" s="14" t="n"/>
      <x:c r="C33" s="14" t="n"/>
      <x:c r="D33" s="14" t="n"/>
      <x:c r="E33" s="14" t="n"/>
      <x:c r="F33" s="14" t="n"/>
      <x:c r="G33" s="121" t="n"/>
      <x:c r="H33" s="122" t="n"/>
    </x:row>
    <x:row r="34">
      <x:c r="A34" s="13" t="n"/>
      <x:c r="B34" s="14" t="n"/>
      <x:c r="C34" s="14" t="n"/>
      <x:c r="D34" s="14" t="n"/>
      <x:c r="E34" s="14" t="n"/>
      <x:c r="F34" s="14" t="n"/>
      <x:c r="G34" s="121" t="n"/>
      <x:c r="H34" s="122" t="n"/>
    </x:row>
    <x:row r="35">
      <x:c r="A35" s="13" t="n"/>
      <x:c r="B35" s="14" t="n"/>
      <x:c r="C35" s="14" t="n"/>
      <x:c r="D35" s="14" t="n"/>
      <x:c r="E35" s="14" t="n"/>
      <x:c r="F35" s="14" t="n"/>
      <x:c r="G35" s="121" t="n"/>
      <x:c r="H35" s="122" t="n"/>
    </x:row>
    <x:row r="36">
      <x:c r="A36" s="13" t="n"/>
      <x:c r="B36" s="14" t="n"/>
      <x:c r="C36" s="14" t="n"/>
      <x:c r="D36" s="14" t="n"/>
      <x:c r="E36" s="14" t="n"/>
      <x:c r="F36" s="14" t="n"/>
      <x:c r="G36" s="121" t="n"/>
      <x:c r="H36" s="122" t="n"/>
    </x:row>
    <x:row r="37">
      <x:c r="A37" s="13" t="n"/>
      <x:c r="B37" s="14" t="n"/>
      <x:c r="C37" s="14" t="n"/>
      <x:c r="D37" s="14" t="n"/>
      <x:c r="E37" s="14" t="n"/>
      <x:c r="F37" s="14" t="n"/>
      <x:c r="G37" s="121" t="n"/>
      <x:c r="H37" s="122" t="n"/>
    </x:row>
    <x:row r="38">
      <x:c r="A38" s="13" t="n"/>
      <x:c r="B38" s="14" t="n"/>
      <x:c r="C38" s="14" t="n"/>
      <x:c r="D38" s="14" t="n"/>
      <x:c r="E38" s="14" t="n"/>
      <x:c r="F38" s="14" t="n"/>
      <x:c r="G38" s="121" t="n"/>
      <x:c r="H38" s="122" t="n"/>
    </x:row>
    <x:row r="39">
      <x:c r="A39" s="13" t="n"/>
      <x:c r="B39" s="14" t="n"/>
      <x:c r="C39" s="14" t="n"/>
      <x:c r="D39" s="14" t="n"/>
      <x:c r="E39" s="14" t="n"/>
      <x:c r="F39" s="14" t="n"/>
      <x:c r="G39" s="121" t="n"/>
      <x:c r="H39" s="122" t="n"/>
    </x:row>
    <x:row r="40">
      <x:c r="A40" s="13" t="n"/>
      <x:c r="B40" s="14" t="n"/>
      <x:c r="C40" s="14" t="n"/>
      <x:c r="D40" s="14" t="n"/>
      <x:c r="E40" s="14" t="n"/>
      <x:c r="F40" s="14" t="n"/>
      <x:c r="G40" s="121" t="n"/>
      <x:c r="H40" s="122" t="n"/>
    </x:row>
    <x:row r="41">
      <x:c r="A41" s="13" t="n"/>
      <x:c r="B41" s="14" t="n"/>
      <x:c r="C41" s="14" t="n"/>
      <x:c r="D41" s="14" t="n"/>
      <x:c r="E41" s="14" t="n"/>
      <x:c r="F41" s="14" t="n"/>
      <x:c r="G41" s="121" t="n"/>
      <x:c r="H41" s="122" t="n"/>
    </x:row>
    <x:row r="42">
      <x:c r="A42" s="13" t="n"/>
      <x:c r="B42" s="14" t="n"/>
      <x:c r="C42" s="14" t="n"/>
      <x:c r="D42" s="14" t="n"/>
      <x:c r="E42" s="14" t="n"/>
      <x:c r="F42" s="14" t="n"/>
      <x:c r="G42" s="121" t="n"/>
      <x:c r="H42" s="122" t="n"/>
    </x:row>
    <x:row r="43">
      <x:c r="A43" s="13" t="n"/>
      <x:c r="B43" s="14" t="n"/>
      <x:c r="C43" s="14" t="n"/>
      <x:c r="D43" s="14" t="n"/>
      <x:c r="E43" s="14" t="n"/>
      <x:c r="F43" s="14" t="n"/>
      <x:c r="G43" s="121" t="n"/>
      <x:c r="H43" s="122" t="n"/>
    </x:row>
    <x:row r="44">
      <x:c r="A44" s="13" t="n"/>
      <x:c r="B44" s="14" t="n"/>
      <x:c r="C44" s="14" t="n"/>
      <x:c r="D44" s="14" t="n"/>
      <x:c r="E44" s="14" t="n"/>
      <x:c r="F44" s="14" t="n"/>
      <x:c r="G44" s="121" t="n"/>
      <x:c r="H44" s="122" t="n"/>
    </x:row>
    <x:row r="45">
      <x:c r="A45" s="13" t="n"/>
      <x:c r="B45" s="14" t="n"/>
      <x:c r="C45" s="14" t="n"/>
      <x:c r="D45" s="14" t="n"/>
      <x:c r="E45" s="14" t="n"/>
      <x:c r="F45" s="14" t="n"/>
      <x:c r="G45" s="121" t="n"/>
      <x:c r="H45" s="122" t="n"/>
    </x:row>
    <x:row r="46">
      <x:c r="A46" s="13" t="n"/>
      <x:c r="B46" s="14" t="n"/>
      <x:c r="C46" s="14" t="n"/>
      <x:c r="D46" s="14" t="n"/>
      <x:c r="E46" s="14" t="n"/>
      <x:c r="F46" s="14" t="n"/>
      <x:c r="G46" s="121" t="n"/>
      <x:c r="H46" s="122" t="n"/>
    </x:row>
    <x:row r="47">
      <x:c r="A47" s="13" t="n"/>
      <x:c r="B47" s="14" t="n"/>
      <x:c r="C47" s="14" t="n"/>
      <x:c r="D47" s="14" t="n"/>
      <x:c r="E47" s="14" t="n"/>
      <x:c r="F47" s="14" t="n"/>
      <x:c r="G47" s="121" t="n"/>
      <x:c r="H47" s="122" t="n"/>
    </x:row>
    <x:row r="48">
      <x:c r="A48" s="13" t="n"/>
      <x:c r="B48" s="14" t="n"/>
      <x:c r="C48" s="14" t="n"/>
      <x:c r="D48" s="14" t="n"/>
      <x:c r="E48" s="14" t="n"/>
      <x:c r="F48" s="14" t="n"/>
      <x:c r="G48" s="121" t="n"/>
      <x:c r="H48" s="122" t="n"/>
    </x:row>
    <x:row r="49">
      <x:c r="A49" s="13" t="n"/>
      <x:c r="B49" s="14" t="n"/>
      <x:c r="C49" s="14" t="n"/>
      <x:c r="D49" s="14" t="n"/>
      <x:c r="E49" s="14" t="n"/>
      <x:c r="F49" s="14" t="n"/>
      <x:c r="G49" s="121" t="n"/>
      <x:c r="H49" s="122" t="n"/>
    </x:row>
    <x:row r="50">
      <x:c r="A50" s="13" t="n"/>
      <x:c r="B50" s="14" t="n"/>
      <x:c r="C50" s="14" t="n"/>
      <x:c r="D50" s="14" t="n"/>
      <x:c r="E50" s="14" t="n"/>
      <x:c r="F50" s="14" t="n"/>
      <x:c r="G50" s="121" t="n"/>
      <x:c r="H50" s="122" t="n"/>
    </x:row>
    <x:row r="51">
      <x:c r="A51" s="13" t="n"/>
      <x:c r="B51" s="14" t="n"/>
      <x:c r="C51" s="14" t="n"/>
      <x:c r="D51" s="14" t="n"/>
      <x:c r="E51" s="14" t="n"/>
      <x:c r="F51" s="14" t="n"/>
      <x:c r="G51" s="121" t="n"/>
      <x:c r="H51" s="122" t="n"/>
    </x:row>
    <x:row r="52">
      <x:c r="A52" s="13" t="n"/>
      <x:c r="B52" s="14" t="n"/>
      <x:c r="C52" s="14" t="n"/>
      <x:c r="D52" s="14" t="n"/>
      <x:c r="E52" s="14" t="n"/>
      <x:c r="F52" s="14" t="n"/>
      <x:c r="G52" s="121" t="n"/>
      <x:c r="H52" s="122" t="n"/>
    </x:row>
    <x:row r="53">
      <x:c r="A53" s="13" t="n"/>
      <x:c r="B53" s="14" t="n"/>
      <x:c r="C53" s="14" t="n"/>
      <x:c r="D53" s="14" t="n"/>
      <x:c r="E53" s="14" t="n"/>
      <x:c r="F53" s="14" t="n"/>
      <x:c r="G53" s="121" t="n"/>
      <x:c r="H53" s="122" t="n"/>
    </x:row>
    <x:row r="54">
      <x:c r="A54" s="13" t="n"/>
      <x:c r="B54" s="14" t="n"/>
      <x:c r="C54" s="14" t="n"/>
      <x:c r="D54" s="14" t="n"/>
      <x:c r="E54" s="14" t="n"/>
      <x:c r="F54" s="14" t="n"/>
      <x:c r="G54" s="121" t="n"/>
      <x:c r="H54" s="122" t="n"/>
    </x:row>
    <x:row r="55">
      <x:c r="A55" s="13" t="n"/>
      <x:c r="B55" s="14" t="n"/>
      <x:c r="C55" s="14" t="n"/>
      <x:c r="D55" s="14" t="n"/>
      <x:c r="E55" s="14" t="n"/>
      <x:c r="F55" s="14" t="n"/>
      <x:c r="G55" s="121" t="n"/>
      <x:c r="H55" s="122" t="n"/>
    </x:row>
    <x:row r="56">
      <x:c r="A56" s="13" t="n"/>
      <x:c r="B56" s="14" t="n"/>
      <x:c r="C56" s="14" t="n"/>
      <x:c r="D56" s="14" t="n"/>
      <x:c r="E56" s="14" t="n"/>
      <x:c r="F56" s="14" t="n"/>
      <x:c r="G56" s="121" t="n"/>
      <x:c r="H56" s="122" t="n"/>
    </x:row>
    <x:row r="57">
      <x:c r="A57" s="13" t="n"/>
      <x:c r="B57" s="14" t="n"/>
      <x:c r="C57" s="14" t="n"/>
      <x:c r="D57" s="14" t="n"/>
      <x:c r="E57" s="14" t="n"/>
      <x:c r="F57" s="14" t="n"/>
      <x:c r="G57" s="121" t="n"/>
      <x:c r="H57" s="122" t="n"/>
    </x:row>
    <x:row r="58">
      <x:c r="A58" s="13" t="n"/>
      <x:c r="B58" s="14" t="n"/>
      <x:c r="C58" s="14" t="n"/>
      <x:c r="D58" s="14" t="n"/>
      <x:c r="E58" s="14" t="n"/>
      <x:c r="F58" s="14" t="n"/>
      <x:c r="G58" s="121" t="n"/>
      <x:c r="H58" s="122" t="n"/>
    </x:row>
    <x:row r="59">
      <x:c r="A59" s="13" t="n"/>
      <x:c r="B59" s="14" t="n"/>
      <x:c r="C59" s="14" t="n"/>
      <x:c r="D59" s="14" t="n"/>
      <x:c r="E59" s="14" t="n"/>
      <x:c r="F59" s="14" t="n"/>
      <x:c r="G59" s="121" t="n"/>
      <x:c r="H59" s="122" t="n"/>
    </x:row>
    <x:row r="60">
      <x:c r="A60" s="16" t="n"/>
      <x:c r="B60" s="17" t="n"/>
      <x:c r="C60" s="17" t="n"/>
      <x:c r="D60" s="17" t="n"/>
      <x:c r="E60" s="17" t="n"/>
      <x:c r="F60" s="17" t="n"/>
      <x:c r="G60" s="127" t="n"/>
      <x:c r="H60" s="128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6" customWidth="1"/>
    <x:col min="5" max="5" width="12" customWidth="1"/>
    <x:col min="6" max="6" width="36" customWidth="1"/>
    <x:col min="7" max="7" width="36" customWidth="1"/>
    <x:col min="8" max="8" width="38" customWidth="1"/>
  </x:cols>
  <x:sheetData>
    <x:row r="1">
      <x:c r="A1" s="107" t="inlineStr">
        <x:is>
          <x:t xml:space="preserve">08 Control</x:t>
        </x:is>
      </x:c>
      <x:c r="B1" s="108" t="str"/>
      <x:c r="C1" s="108" t="str"/>
      <x:c r="D1" s="108" t="str"/>
      <x:c r="E1" s="108" t="str"/>
      <x:c r="F1" s="109" t="str"/>
      <x:c r="G1" s="109" t="str"/>
      <x:c r="H1" s="120" t="n"/>
    </x:row>
    <x:row r="2">
      <x:c r="A2" s="111" t="inlineStr">
        <x:is>
          <x:t xml:space="preserve">Controles de coherencia del modelo financiero.</x:t>
        </x:is>
      </x:c>
      <x:c r="B2" s="112" t="str"/>
      <x:c r="C2" s="112" t="str"/>
      <x:c r="D2" s="112" t="str"/>
      <x:c r="E2" s="112" t="str"/>
      <x:c r="F2" s="112" t="str"/>
      <x:c r="G2" s="112" t="str"/>
      <x:c r="H2" s="122" t="n"/>
    </x:row>
    <x:row r="3">
      <x:c r="A3" s="13" t="str"/>
      <x:c r="B3" s="14" t="str"/>
      <x:c r="C3" s="14" t="str"/>
      <x:c r="D3" s="14" t="str"/>
      <x:c r="E3" s="14" t="str"/>
      <x:c r="F3" s="14" t="str"/>
      <x:c r="G3" s="14" t="str"/>
      <x:c r="H3" s="122" t="n"/>
    </x:row>
    <x:row r="4">
      <x:c r="A4" s="13" t="n"/>
      <x:c r="B4" s="14" t="n"/>
      <x:c r="C4" s="14" t="n"/>
      <x:c r="D4" s="14" t="n"/>
      <x:c r="E4" s="14" t="n"/>
      <x:c r="F4" s="14" t="n"/>
      <x:c r="G4" s="14" t="n"/>
      <x:c r="H4" s="122" t="n"/>
    </x:row>
    <x:row r="5">
      <x:c r="A5" s="114" t="inlineStr">
        <x:is>
          <x:t xml:space="preserve">Comprobacion</x:t>
        </x:is>
      </x:c>
      <x:c r="B5" s="115" t="inlineStr">
        <x:is>
          <x:t xml:space="preserve">Actual</x:t>
        </x:is>
      </x:c>
      <x:c r="C5" s="115" t="inlineStr">
        <x:is>
          <x:t xml:space="preserve">Esperado</x:t>
        </x:is>
      </x:c>
      <x:c r="D5" s="115" t="inlineStr">
        <x:is>
          <x:t xml:space="preserve">Diferencia</x:t>
        </x:is>
      </x:c>
      <x:c r="E5" s="115" t="inlineStr">
        <x:is>
          <x:t xml:space="preserve">Estado</x:t>
        </x:is>
      </x:c>
      <x:c r="F5" s="115" t="inlineStr">
        <x:is>
          <x:t xml:space="preserve">Referencia</x:t>
        </x:is>
      </x:c>
      <x:c r="G5" s="115" t="inlineStr">
        <x:is>
          <x:t xml:space="preserve">Notas</x:t>
        </x:is>
      </x:c>
      <x:c r="H5" s="122" t="n"/>
    </x:row>
    <x:row r="6">
      <x:c r="A6" s="13" t="inlineStr">
        <x:is>
          <x:t xml:space="preserve">m2 total mantiene base</x:t>
        </x:is>
      </x:c>
      <x:c r="B6" s="164" t="n">
        <x:f>SUM('01_Supuestos'!B8:E8)</x:f>
        <x:v>6511000</x:v>
      </x:c>
      <x:c r="C6" s="164" t="n">
        <x:f>'01_Supuestos'!B5</x:f>
        <x:v>6511000</x:v>
      </x:c>
      <x:c r="D6" s="164" t="n">
        <x:f>B6-C6</x:f>
        <x:v>0</x:v>
      </x:c>
      <x:c r="E6" s="137" t="str">
        <x:f>IF(ABS(D6)&lt;1,"OK","FALLO")</x:f>
        <x:v>OK</x:v>
      </x:c>
      <x:c r="F6" s="14" t="inlineStr">
        <x:is>
          <x:t xml:space="preserve">01_Supuestos!B5:B8</x:t>
        </x:is>
      </x:c>
      <x:c r="G6" s="14" t="inlineStr">
        <x:is>
          <x:t xml:space="preserve">Total emitido debe igualar la curva base original ajustada.</x:t>
        </x:is>
      </x:c>
      <x:c r="H6" s="122" t="n"/>
    </x:row>
    <x:row r="7">
      <x:c r="A7" s="13" t="inlineStr">
        <x:is>
          <x:t xml:space="preserve">Ingresos total suma componentes</x:t>
        </x:is>
      </x:c>
      <x:c r="B7" s="164" t="n">
        <x:f>'02_Detalle_Ingresos'!E42</x:f>
        <x:v>192.02824003333333</x:v>
      </x:c>
      <x:c r="C7" s="164" t="n">
        <x:f>SUM('02_Detalle_Ingresos'!E31,'02_Detalle_Ingresos'!E36:E40)</x:f>
        <x:v>192.02824003333333</x:v>
      </x:c>
      <x:c r="D7" s="164" t="n">
        <x:f>B7-C7</x:f>
        <x:v>0</x:v>
      </x:c>
      <x:c r="E7" s="137" t="str">
        <x:f>IF(ABS(D7)&lt;0.01,"OK","FALLO")</x:f>
        <x:v>OK</x:v>
      </x:c>
      <x:c r="F7" s="14" t="inlineStr">
        <x:is>
          <x:t xml:space="preserve">02_Detalle_Ingresos</x:t>
        </x:is>
      </x:c>
      <x:c r="G7" s="14" t="inlineStr">
        <x:is>
          <x:t xml:space="preserve">Total ingresos = Asset OS + verticales.</x:t>
        </x:is>
      </x:c>
      <x:c r="H7" s="122" t="n"/>
    </x:row>
    <x:row r="8">
      <x:c r="A8" s="13" t="inlineStr">
        <x:is>
          <x:t xml:space="preserve">OPEX total suma categorias</x:t>
        </x:is>
      </x:c>
      <x:c r="B8" s="164" t="n">
        <x:f>'05_Detalle_OPEX'!E14</x:f>
        <x:v>39.233412878395995</x:v>
      </x:c>
      <x:c r="C8" s="164" t="n">
        <x:f>SUM('05_Detalle_OPEX'!E6,'05_Detalle_OPEX'!E13)</x:f>
        <x:v>39.233412878395995</x:v>
      </x:c>
      <x:c r="D8" s="164" t="n">
        <x:f>B8-C8</x:f>
        <x:v>0</x:v>
      </x:c>
      <x:c r="E8" s="137" t="str">
        <x:f>IF(ABS(D8)&lt;0.01,"OK","FALLO")</x:f>
        <x:v>OK</x:v>
      </x:c>
      <x:c r="F8" s="14" t="inlineStr">
        <x:is>
          <x:t xml:space="preserve">05_Detalle_OPEX</x:t>
        </x:is>
      </x:c>
      <x:c r="G8" s="14" t="inlineStr">
        <x:is>
          <x:t xml:space="preserve">Total OPEX = personal + OPEX no-personal.</x:t>
        </x:is>
      </x:c>
      <x:c r="H8" s="122" t="n"/>
    </x:row>
    <x:row r="9">
      <x:c r="A9" s="13" t="inlineStr">
        <x:is>
          <x:t xml:space="preserve">Personal suma perfiles</x:t>
        </x:is>
      </x:c>
      <x:c r="B9" s="164" t="n">
        <x:f>'03_Detalle_Personal'!K38</x:f>
        <x:v>17.525155625999997</x:v>
      </x:c>
      <x:c r="C9" s="164" t="n">
        <x:f>SUM('03_Detalle_Personal'!K6:K37)</x:f>
        <x:v>17.525155625999997</x:v>
      </x:c>
      <x:c r="D9" s="164" t="n">
        <x:f>B9-C9</x:f>
        <x:v>0</x:v>
      </x:c>
      <x:c r="E9" s="137" t="str">
        <x:f>IF(ABS(D9)&lt;0.01,"OK","FALLO")</x:f>
        <x:v>OK</x:v>
      </x:c>
      <x:c r="F9" s="14" t="inlineStr">
        <x:is>
          <x:t xml:space="preserve">03_Detalle_Personal</x:t>
        </x:is>
      </x:c>
      <x:c r="G9" s="14" t="inlineStr">
        <x:is>
          <x:t xml:space="preserve">Coste personal = suma perfil x FTE.</x:t>
        </x:is>
      </x:c>
      <x:c r="H9" s="122" t="n"/>
    </x:row>
    <x:row r="10">
      <x:c r="A10" s="13" t="inlineStr">
        <x:is>
          <x:t xml:space="preserve">EBITDA calcula margen menos OPEX</x:t>
        </x:is>
      </x:c>
      <x:c r="B10" s="164" t="n">
        <x:f>'06_Cuenta_Resultados'!E22</x:f>
        <x:v>107.87732321560401</x:v>
      </x:c>
      <x:c r="C10" s="164" t="n">
        <x:f>'06_Cuenta_Resultados'!E17+'06_Cuenta_Resultados'!E21</x:f>
        <x:v>107.87732321560401</x:v>
      </x:c>
      <x:c r="D10" s="164" t="n">
        <x:f>B10-C10</x:f>
        <x:v>0</x:v>
      </x:c>
      <x:c r="E10" s="137" t="str">
        <x:f>IF(ABS(D10)&lt;0.01,"OK","FALLO")</x:f>
        <x:v>OK</x:v>
      </x:c>
      <x:c r="F10" s="14" t="inlineStr">
        <x:is>
          <x:t xml:space="preserve">06_Cuenta_Resultados</x:t>
        </x:is>
      </x:c>
      <x:c r="G10" s="14" t="inlineStr">
        <x:is>
          <x:t xml:space="preserve">EBITDA = margen bruto + OPEX total negativo.</x:t>
        </x:is>
      </x:c>
      <x:c r="H10" s="122" t="n"/>
    </x:row>
    <x:row r="11">
      <x:c r="A11" s="13" t="inlineStr">
        <x:is>
          <x:t xml:space="preserve">Resultado neto calcula EBT menos impuestos</x:t>
        </x:is>
      </x:c>
      <x:c r="B11" s="164" t="n">
        <x:f>'06_Cuenta_Resultados'!E29</x:f>
        <x:v>79.74549241170301</x:v>
      </x:c>
      <x:c r="C11" s="164" t="n">
        <x:f>'06_Cuenta_Resultados'!E27+'06_Cuenta_Resultados'!E28</x:f>
        <x:v>79.74549241170301</x:v>
      </x:c>
      <x:c r="D11" s="164" t="n">
        <x:f>B11-C11</x:f>
        <x:v>0</x:v>
      </x:c>
      <x:c r="E11" s="137" t="str">
        <x:f>IF(ABS(D11)&lt;0.01,"OK","FALLO")</x:f>
        <x:v>OK</x:v>
      </x:c>
      <x:c r="F11" s="14" t="inlineStr">
        <x:is>
          <x:t xml:space="preserve">06_Cuenta_Resultados</x:t>
        </x:is>
      </x:c>
      <x:c r="G11" s="14" t="inlineStr">
        <x:is>
          <x:t xml:space="preserve">Resultado neto = resultado antes de impuestos + impuestos.</x:t>
        </x:is>
      </x:c>
      <x:c r="H11" s="122" t="n"/>
    </x:row>
    <x:row r="12">
      <x:c r="A12" s="13" t="inlineStr">
        <x:is>
          <x:t xml:space="preserve">Caja final roll-forward</x:t>
        </x:is>
      </x:c>
      <x:c r="B12" s="164" t="n">
        <x:f>'07_Caja_CAPEX_WC'!E15</x:f>
        <x:v>89.63774039095667</x:v>
      </x:c>
      <x:c r="C12" s="164" t="n">
        <x:f>SUM('07_Caja_CAPEX_WC'!B14:E14)</x:f>
        <x:v>89.63774039095667</x:v>
      </x:c>
      <x:c r="D12" s="164" t="n">
        <x:f>B12-C12</x:f>
        <x:v>0</x:v>
      </x:c>
      <x:c r="E12" s="137" t="str">
        <x:f>IF(ABS(D12)&lt;0.01,"OK","FALLO")</x:f>
        <x:v>OK</x:v>
      </x:c>
      <x:c r="F12" s="14" t="inlineStr">
        <x:is>
          <x:t xml:space="preserve">07_Caja_CAPEX_WC</x:t>
        </x:is>
      </x:c>
      <x:c r="G12" s="14" t="inlineStr">
        <x:is>
          <x:t xml:space="preserve">Caja final = caja previa + flujo neto.</x:t>
        </x:is>
      </x:c>
      <x:c r="H12" s="122" t="n"/>
    </x:row>
    <x:row r="13">
      <x:c r="A13" s="13" t="inlineStr">
        <x:is>
          <x:t xml:space="preserve">Sin ingresos negativos materiales</x:t>
        </x:is>
      </x:c>
      <x:c r="B13" s="164" t="n">
        <x:f>MIN('02_Detalle_Ingresos'!B20:E42)</x:f>
        <x:v>0</x:v>
      </x:c>
      <x:c r="C13" s="164" t="n">
        <x:f>-0.01</x:f>
        <x:v>-0.01</x:v>
      </x:c>
      <x:c r="D13" s="164" t="n">
        <x:f>MIN(0,B13-C13)</x:f>
        <x:v>0</x:v>
      </x:c>
      <x:c r="E13" s="137" t="str">
        <x:f>IF(B13&gt;=C13,"OK","REVISAR")</x:f>
        <x:v>OK</x:v>
      </x:c>
      <x:c r="F13" s="14" t="inlineStr">
        <x:is>
          <x:t xml:space="preserve">02_Detalle_Ingresos</x:t>
        </x:is>
      </x:c>
      <x:c r="G13" s="14" t="inlineStr">
        <x:is>
          <x:t xml:space="preserve">Control simplificado de signo.</x:t>
        </x:is>
      </x:c>
      <x:c r="H13" s="122" t="n"/>
    </x:row>
    <x:row r="14">
      <x:c r="A14" s="13" t="str">
        <x:v>Activos 26/27 definidos</x:v>
      </x:c>
      <x:c r="B14" s="164" t="n">
        <x:f>COUNTA('11_Activos_Plan_26_27'!A6:A18)</x:f>
        <x:v>13</x:v>
      </x:c>
      <x:c r="C14" s="164" t="n">
        <x:v>13</x:v>
      </x:c>
      <x:c r="D14" s="164" t="n">
        <x:f>B14-C14</x:f>
        <x:v>0</x:v>
      </x:c>
      <x:c r="E14" s="137" t="str">
        <x:f>IF(D14=0,"OK","REVISAR")</x:f>
        <x:v>OK</x:v>
      </x:c>
      <x:c r="F14" s="14" t="str">
        <x:v>11_Activos_Plan_26_27</x:v>
      </x:c>
      <x:c r="G14" s="14" t="str">
        <x:v>Debe existir un mapa completo de activos, gates y evidencias del primer tramo operativo.</x:v>
      </x:c>
      <x:c r="H14" s="122" t="n"/>
    </x:row>
    <x:row r="15">
      <x:c r="A15" s="13" t="str">
        <x:v>Escenarios 2030 definidos</x:v>
      </x:c>
      <x:c r="B15" s="164" t="n">
        <x:f>COUNTA('17_Escenarios_2030'!A6:A8)</x:f>
        <x:v>3</x:v>
      </x:c>
      <x:c r="C15" s="164" t="n">
        <x:v>3</x:v>
      </x:c>
      <x:c r="D15" s="164" t="n">
        <x:f>B15-C15</x:f>
        <x:v>0</x:v>
      </x:c>
      <x:c r="E15" s="137" t="str">
        <x:f>IF(D15=0,"OK","REVISAR")</x:f>
        <x:v>OK</x:v>
      </x:c>
      <x:c r="F15" s="14" t="str">
        <x:v>17_Escenarios_2030</x:v>
      </x:c>
      <x:c r="G15" s="14" t="str">
        <x:v>Deben existir Guarded, Base y Breakout para lectura de sensibilidad.</x:v>
      </x:c>
      <x:c r="H15" s="122" t="n"/>
    </x:row>
    <x:row r="16">
      <x:c r="A16" s="209" t="inlineStr">
        <x:is>
          <x:t xml:space="preserve">Coste empresa / SS conciliado</x:t>
        </x:is>
      </x:c>
      <x:c r="B16" s="209" t="n">
        <x:f>SUM('03b_Coste_Empresa_SS'!B10:E10)</x:f>
        <x:v>0</x:v>
      </x:c>
      <x:c r="C16" s="209" t="n">
        <x:v>0</x:v>
      </x:c>
      <x:c r="D16" s="209" t="n">
        <x:f>B16-C16</x:f>
        <x:v>0</x:v>
      </x:c>
      <x:c r="E16" s="209" t="str">
        <x:f>IF(ABS(D16)&lt;0.001,"OK","FALLO")</x:f>
        <x:v>OK</x:v>
      </x:c>
      <x:c r="F16" s="209" t="inlineStr">
        <x:is>
          <x:t xml:space="preserve">03b_Coste_Empresa_SS</x:t>
        </x:is>
      </x:c>
      <x:c r="G16" s="209" t="inlineStr">
        <x:is>
          <x:t xml:space="preserve">Salario bruto estimado + SS debe reconciliar con OPEX personal.</x:t>
        </x:is>
      </x:c>
      <x:c r="H16" s="122" t="n"/>
    </x:row>
    <x:row r="17">
      <x:c r="A17" s="206" t="inlineStr">
        <x:is>
          <x:t xml:space="preserve">ESTADO MODELO</x:t>
        </x:is>
      </x:c>
      <x:c r="B17" s="206" t="n">
        <x:f>COUNTIF(E6:E16,"FALLO")+COUNTIF(E6:E16,"REVISAR")</x:f>
        <x:v>0</x:v>
      </x:c>
      <x:c r="C17" s="206" t="n">
        <x:v>0</x:v>
      </x:c>
      <x:c r="D17" s="206" t="n">
        <x:f>B17-C17</x:f>
        <x:v>0</x:v>
      </x:c>
      <x:c r="E17" s="206" t="str">
        <x:f>IF(B17=0,"OK","REVISAR")</x:f>
        <x:v>OK</x:v>
      </x:c>
      <x:c r="F17" s="206" t="inlineStr">
        <x:is>
          <x:t xml:space="preserve">Todas las comprobaciones</x:t>
        </x:is>
      </x:c>
      <x:c r="G17" s="206" t="inlineStr">
        <x:is>
          <x:t xml:space="preserve">OK si no hay fallos ni revisiones.</x:t>
        </x:is>
      </x:c>
      <x:c r="H17" s="122" t="n"/>
    </x:row>
    <x:row r="18">
      <x:c r="A18" s="13" t="n"/>
      <x:c r="B18" s="14" t="n"/>
      <x:c r="C18" s="14" t="n"/>
      <x:c r="D18" s="14" t="n"/>
      <x:c r="E18" s="14" t="n"/>
      <x:c r="F18" s="14" t="n"/>
      <x:c r="G18" s="14" t="n"/>
      <x:c r="H18" s="122" t="n"/>
    </x:row>
    <x:row r="19">
      <x:c r="A19" s="13" t="n"/>
      <x:c r="B19" s="14" t="n"/>
      <x:c r="C19" s="14" t="n"/>
      <x:c r="D19" s="14" t="n"/>
      <x:c r="E19" s="14" t="n"/>
      <x:c r="F19" s="14" t="n"/>
      <x:c r="G19" s="14" t="n"/>
      <x:c r="H19" s="122" t="n"/>
    </x:row>
    <x:row r="20">
      <x:c r="A20" s="13" t="n"/>
      <x:c r="B20" s="14" t="n"/>
      <x:c r="C20" s="14" t="n"/>
      <x:c r="D20" s="14" t="n"/>
      <x:c r="E20" s="14" t="n"/>
      <x:c r="F20" s="14" t="n"/>
      <x:c r="G20" s="14" t="n"/>
      <x:c r="H20" s="122" t="n"/>
    </x:row>
    <x:row r="21">
      <x:c r="A21" s="13" t="n"/>
      <x:c r="B21" s="14" t="n"/>
      <x:c r="C21" s="14" t="n"/>
      <x:c r="D21" s="14" t="n"/>
      <x:c r="E21" s="14" t="n"/>
      <x:c r="F21" s="14" t="n"/>
      <x:c r="G21" s="14" t="n"/>
      <x:c r="H21" s="122" t="n"/>
    </x:row>
    <x:row r="22">
      <x:c r="A22" s="13" t="n"/>
      <x:c r="B22" s="14" t="n"/>
      <x:c r="C22" s="14" t="n"/>
      <x:c r="D22" s="14" t="n"/>
      <x:c r="E22" s="14" t="n"/>
      <x:c r="F22" s="14" t="n"/>
      <x:c r="G22" s="14" t="n"/>
      <x:c r="H22" s="122" t="n"/>
    </x:row>
    <x:row r="23">
      <x:c r="A23" s="13" t="n"/>
      <x:c r="B23" s="14" t="n"/>
      <x:c r="C23" s="14" t="n"/>
      <x:c r="D23" s="14" t="n"/>
      <x:c r="E23" s="14" t="n"/>
      <x:c r="F23" s="14" t="n"/>
      <x:c r="G23" s="14" t="n"/>
      <x:c r="H23" s="122" t="n"/>
    </x:row>
    <x:row r="24">
      <x:c r="A24" s="13" t="n"/>
      <x:c r="B24" s="14" t="n"/>
      <x:c r="C24" s="14" t="n"/>
      <x:c r="D24" s="14" t="n"/>
      <x:c r="E24" s="14" t="n"/>
      <x:c r="F24" s="14" t="n"/>
      <x:c r="G24" s="14" t="n"/>
      <x:c r="H24" s="122" t="n"/>
    </x:row>
    <x:row r="25">
      <x:c r="A25" s="13" t="n"/>
      <x:c r="B25" s="14" t="n"/>
      <x:c r="C25" s="14" t="n"/>
      <x:c r="D25" s="14" t="n"/>
      <x:c r="E25" s="14" t="n"/>
      <x:c r="F25" s="14" t="n"/>
      <x:c r="G25" s="14" t="n"/>
      <x:c r="H25" s="122" t="n"/>
    </x:row>
    <x:row r="26">
      <x:c r="A26" s="13" t="n"/>
      <x:c r="B26" s="14" t="n"/>
      <x:c r="C26" s="14" t="n"/>
      <x:c r="D26" s="14" t="n"/>
      <x:c r="E26" s="14" t="n"/>
      <x:c r="F26" s="14" t="n"/>
      <x:c r="G26" s="14" t="n"/>
      <x:c r="H26" s="122" t="n"/>
    </x:row>
    <x:row r="27">
      <x:c r="A27" s="13" t="n"/>
      <x:c r="B27" s="14" t="n"/>
      <x:c r="C27" s="14" t="n"/>
      <x:c r="D27" s="14" t="n"/>
      <x:c r="E27" s="14" t="n"/>
      <x:c r="F27" s="14" t="n"/>
      <x:c r="G27" s="14" t="n"/>
      <x:c r="H27" s="122" t="n"/>
    </x:row>
    <x:row r="28">
      <x:c r="A28" s="13" t="n"/>
      <x:c r="B28" s="14" t="n"/>
      <x:c r="C28" s="14" t="n"/>
      <x:c r="D28" s="14" t="n"/>
      <x:c r="E28" s="14" t="n"/>
      <x:c r="F28" s="14" t="n"/>
      <x:c r="G28" s="14" t="n"/>
      <x:c r="H28" s="122" t="n"/>
    </x:row>
    <x:row r="29">
      <x:c r="A29" s="13" t="n"/>
      <x:c r="B29" s="14" t="n"/>
      <x:c r="C29" s="14" t="n"/>
      <x:c r="D29" s="14" t="n"/>
      <x:c r="E29" s="14" t="n"/>
      <x:c r="F29" s="14" t="n"/>
      <x:c r="G29" s="14" t="n"/>
      <x:c r="H29" s="122" t="n"/>
    </x:row>
    <x:row r="30">
      <x:c r="A30" s="13" t="n"/>
      <x:c r="B30" s="14" t="n"/>
      <x:c r="C30" s="14" t="n"/>
      <x:c r="D30" s="14" t="n"/>
      <x:c r="E30" s="14" t="n"/>
      <x:c r="F30" s="14" t="n"/>
      <x:c r="G30" s="14" t="n"/>
      <x:c r="H30" s="122" t="n"/>
    </x:row>
    <x:row r="31">
      <x:c r="A31" s="13" t="n"/>
      <x:c r="B31" s="14" t="n"/>
      <x:c r="C31" s="14" t="n"/>
      <x:c r="D31" s="14" t="n"/>
      <x:c r="E31" s="14" t="n"/>
      <x:c r="F31" s="14" t="n"/>
      <x:c r="G31" s="14" t="n"/>
      <x:c r="H31" s="122" t="n"/>
    </x:row>
    <x:row r="32">
      <x:c r="A32" s="13" t="n"/>
      <x:c r="B32" s="14" t="n"/>
      <x:c r="C32" s="14" t="n"/>
      <x:c r="D32" s="14" t="n"/>
      <x:c r="E32" s="14" t="n"/>
      <x:c r="F32" s="14" t="n"/>
      <x:c r="G32" s="14" t="n"/>
      <x:c r="H32" s="122" t="n"/>
    </x:row>
    <x:row r="33">
      <x:c r="A33" s="13" t="n"/>
      <x:c r="B33" s="14" t="n"/>
      <x:c r="C33" s="14" t="n"/>
      <x:c r="D33" s="14" t="n"/>
      <x:c r="E33" s="14" t="n"/>
      <x:c r="F33" s="14" t="n"/>
      <x:c r="G33" s="14" t="n"/>
      <x:c r="H33" s="122" t="n"/>
    </x:row>
    <x:row r="34">
      <x:c r="A34" s="13" t="n"/>
      <x:c r="B34" s="14" t="n"/>
      <x:c r="C34" s="14" t="n"/>
      <x:c r="D34" s="14" t="n"/>
      <x:c r="E34" s="14" t="n"/>
      <x:c r="F34" s="14" t="n"/>
      <x:c r="G34" s="14" t="n"/>
      <x:c r="H34" s="122" t="n"/>
    </x:row>
    <x:row r="35">
      <x:c r="A35" s="13" t="n"/>
      <x:c r="B35" s="14" t="n"/>
      <x:c r="C35" s="14" t="n"/>
      <x:c r="D35" s="14" t="n"/>
      <x:c r="E35" s="14" t="n"/>
      <x:c r="F35" s="14" t="n"/>
      <x:c r="G35" s="14" t="n"/>
      <x:c r="H35" s="122" t="n"/>
    </x:row>
    <x:row r="36">
      <x:c r="A36" s="13" t="n"/>
      <x:c r="B36" s="14" t="n"/>
      <x:c r="C36" s="14" t="n"/>
      <x:c r="D36" s="14" t="n"/>
      <x:c r="E36" s="14" t="n"/>
      <x:c r="F36" s="14" t="n"/>
      <x:c r="G36" s="14" t="n"/>
      <x:c r="H36" s="122" t="n"/>
    </x:row>
    <x:row r="37">
      <x:c r="A37" s="13" t="n"/>
      <x:c r="B37" s="14" t="n"/>
      <x:c r="C37" s="14" t="n"/>
      <x:c r="D37" s="14" t="n"/>
      <x:c r="E37" s="14" t="n"/>
      <x:c r="F37" s="14" t="n"/>
      <x:c r="G37" s="14" t="n"/>
      <x:c r="H37" s="122" t="n"/>
    </x:row>
    <x:row r="38">
      <x:c r="A38" s="13" t="n"/>
      <x:c r="B38" s="14" t="n"/>
      <x:c r="C38" s="14" t="n"/>
      <x:c r="D38" s="14" t="n"/>
      <x:c r="E38" s="14" t="n"/>
      <x:c r="F38" s="14" t="n"/>
      <x:c r="G38" s="14" t="n"/>
      <x:c r="H38" s="122" t="n"/>
    </x:row>
    <x:row r="39">
      <x:c r="A39" s="13" t="n"/>
      <x:c r="B39" s="14" t="n"/>
      <x:c r="C39" s="14" t="n"/>
      <x:c r="D39" s="14" t="n"/>
      <x:c r="E39" s="14" t="n"/>
      <x:c r="F39" s="14" t="n"/>
      <x:c r="G39" s="14" t="n"/>
      <x:c r="H39" s="122" t="n"/>
    </x:row>
    <x:row r="40">
      <x:c r="A40" s="13" t="n"/>
      <x:c r="B40" s="14" t="n"/>
      <x:c r="C40" s="14" t="n"/>
      <x:c r="D40" s="14" t="n"/>
      <x:c r="E40" s="14" t="n"/>
      <x:c r="F40" s="14" t="n"/>
      <x:c r="G40" s="14" t="n"/>
      <x:c r="H40" s="122" t="n"/>
    </x:row>
    <x:row r="41">
      <x:c r="A41" s="13" t="n"/>
      <x:c r="B41" s="14" t="n"/>
      <x:c r="C41" s="14" t="n"/>
      <x:c r="D41" s="14" t="n"/>
      <x:c r="E41" s="14" t="n"/>
      <x:c r="F41" s="14" t="n"/>
      <x:c r="G41" s="14" t="n"/>
      <x:c r="H41" s="122" t="n"/>
    </x:row>
    <x:row r="42">
      <x:c r="A42" s="13" t="n"/>
      <x:c r="B42" s="14" t="n"/>
      <x:c r="C42" s="14" t="n"/>
      <x:c r="D42" s="14" t="n"/>
      <x:c r="E42" s="14" t="n"/>
      <x:c r="F42" s="14" t="n"/>
      <x:c r="G42" s="14" t="n"/>
      <x:c r="H42" s="122" t="n"/>
    </x:row>
    <x:row r="43">
      <x:c r="A43" s="13" t="n"/>
      <x:c r="B43" s="14" t="n"/>
      <x:c r="C43" s="14" t="n"/>
      <x:c r="D43" s="14" t="n"/>
      <x:c r="E43" s="14" t="n"/>
      <x:c r="F43" s="14" t="n"/>
      <x:c r="G43" s="14" t="n"/>
      <x:c r="H43" s="122" t="n"/>
    </x:row>
    <x:row r="44">
      <x:c r="A44" s="13" t="n"/>
      <x:c r="B44" s="14" t="n"/>
      <x:c r="C44" s="14" t="n"/>
      <x:c r="D44" s="14" t="n"/>
      <x:c r="E44" s="14" t="n"/>
      <x:c r="F44" s="14" t="n"/>
      <x:c r="G44" s="14" t="n"/>
      <x:c r="H44" s="122" t="n"/>
    </x:row>
    <x:row r="45">
      <x:c r="A45" s="13" t="n"/>
      <x:c r="B45" s="14" t="n"/>
      <x:c r="C45" s="14" t="n"/>
      <x:c r="D45" s="14" t="n"/>
      <x:c r="E45" s="14" t="n"/>
      <x:c r="F45" s="14" t="n"/>
      <x:c r="G45" s="14" t="n"/>
      <x:c r="H45" s="122" t="n"/>
    </x:row>
    <x:row r="46">
      <x:c r="A46" s="13" t="n"/>
      <x:c r="B46" s="14" t="n"/>
      <x:c r="C46" s="14" t="n"/>
      <x:c r="D46" s="14" t="n"/>
      <x:c r="E46" s="14" t="n"/>
      <x:c r="F46" s="14" t="n"/>
      <x:c r="G46" s="14" t="n"/>
      <x:c r="H46" s="122" t="n"/>
    </x:row>
    <x:row r="47">
      <x:c r="A47" s="13" t="n"/>
      <x:c r="B47" s="14" t="n"/>
      <x:c r="C47" s="14" t="n"/>
      <x:c r="D47" s="14" t="n"/>
      <x:c r="E47" s="14" t="n"/>
      <x:c r="F47" s="14" t="n"/>
      <x:c r="G47" s="14" t="n"/>
      <x:c r="H47" s="122" t="n"/>
    </x:row>
    <x:row r="48">
      <x:c r="A48" s="13" t="n"/>
      <x:c r="B48" s="14" t="n"/>
      <x:c r="C48" s="14" t="n"/>
      <x:c r="D48" s="14" t="n"/>
      <x:c r="E48" s="14" t="n"/>
      <x:c r="F48" s="14" t="n"/>
      <x:c r="G48" s="14" t="n"/>
      <x:c r="H48" s="122" t="n"/>
    </x:row>
    <x:row r="49">
      <x:c r="A49" s="13" t="n"/>
      <x:c r="B49" s="14" t="n"/>
      <x:c r="C49" s="14" t="n"/>
      <x:c r="D49" s="14" t="n"/>
      <x:c r="E49" s="14" t="n"/>
      <x:c r="F49" s="14" t="n"/>
      <x:c r="G49" s="14" t="n"/>
      <x:c r="H49" s="122" t="n"/>
    </x:row>
    <x:row r="50">
      <x:c r="A50" s="16" t="n"/>
      <x:c r="B50" s="17" t="n"/>
      <x:c r="C50" s="17" t="n"/>
      <x:c r="D50" s="17" t="n"/>
      <x:c r="E50" s="17" t="n"/>
      <x:c r="F50" s="17" t="n"/>
      <x:c r="G50" s="17" t="n"/>
      <x:c r="H50" s="128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34" hidden="0" customWidth="1"/>
    <x:col min="3" max="3" width="18" hidden="0" customWidth="1"/>
    <x:col min="4" max="4" width="16" hidden="0" customWidth="1"/>
    <x:col min="5" max="5" width="20" hidden="0" customWidth="1"/>
    <x:col min="6" max="6" width="32" hidden="0" customWidth="1"/>
    <x:col min="7" max="7" width="24" hidden="0" customWidth="1"/>
    <x:col min="8" max="8" width="58" hidden="0" customWidth="1"/>
  </x:cols>
  <x:sheetData>
    <x:row r="1">
      <x:c r="A1" s="220" t="str">
        <x:v>09 Alcance del modelo</x:v>
      </x:c>
      <x:c r="B1" s="221"/>
      <x:c r="C1" s="221"/>
      <x:c r="D1" s="221"/>
      <x:c r="E1" s="221"/>
      <x:c r="F1" s="221"/>
      <x:c r="G1" s="221"/>
      <x:c r="H1" s="222"/>
    </x:row>
    <x:row r="2">
      <x:c r="A2" s="225" t="str">
        <x:v>Fuentes, límites de lectura y convenciones del modelo financiero BP 26/30.</x:v>
      </x:c>
      <x:c r="B2" s="226"/>
      <x:c r="C2" s="226"/>
      <x:c r="D2" s="226"/>
      <x:c r="E2" s="226"/>
      <x:c r="F2" s="226"/>
      <x:c r="G2" s="226"/>
      <x:c r="H2" s="227"/>
    </x:row>
    <x:row r="3">
      <x:c r="A3"/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  <x:row r="5">
      <x:c r="A5" s="230" t="str">
        <x:v>Bloque</x:v>
      </x:c>
      <x:c r="B5" s="230" t="str">
        <x:v>Contenido</x:v>
      </x:c>
      <x:c r="C5" s="230" t="str">
        <x:v>Unidades</x:v>
      </x:c>
      <x:c r="D5" s="230" t="str">
        <x:v>Periodo</x:v>
      </x:c>
      <x:c r="E5" s="230" t="str">
        <x:v>Fuente interna</x:v>
      </x:c>
      <x:c r="F5" s="230" t="str">
        <x:v>Hoja / rango</x:v>
      </x:c>
      <x:c r="G5" s="230" t="str">
        <x:v>Uso</x:v>
      </x:c>
      <x:c r="H5" s="230" t="str">
        <x:v>Notas</x:v>
      </x:c>
    </x:row>
    <x:row r="6">
      <x:c r="A6" s="233" t="str">
        <x:v>Modelo financiero</x:v>
      </x:c>
      <x:c r="B6" s="233" t="str">
        <x:v>BP operativo 26/30</x:v>
      </x:c>
      <x:c r="C6" s="233" t="str">
        <x:v>EUR M salvo indicación</x:v>
      </x:c>
      <x:c r="D6" s="233" t="str">
        <x:v>2026/27-2030</x:v>
      </x:c>
      <x:c r="E6" s="233" t="str">
        <x:v>Modelo CUEVA</x:v>
      </x:c>
      <x:c r="F6" s="233" t="str">
        <x:v>00_Portada</x:v>
      </x:c>
      <x:c r="G6" s="233" t="str">
        <x:v>Lectura general</x:v>
      </x:c>
      <x:c r="H6" s="233" t="str">
        <x:v>El libro refleja forecast operativo y escenarios de escala.</x:v>
      </x:c>
    </x:row>
    <x:row r="7">
      <x:c r="A7" s="233" t="str">
        <x:v>Ingresos</x:v>
      </x:c>
      <x:c r="B7" s="233" t="str">
        <x:v>Drivers por línea de producto</x:v>
      </x:c>
      <x:c r="C7" s="233" t="str">
        <x:v>EUR M</x:v>
      </x:c>
      <x:c r="D7" s="233" t="str">
        <x:v>2026/27-2030</x:v>
      </x:c>
      <x:c r="E7" s="233" t="str">
        <x:v>Modelo CUEVA</x:v>
      </x:c>
      <x:c r="F7" s="233" t="str">
        <x:v>02_Detalle_Ingresos</x:v>
      </x:c>
      <x:c r="G7" s="233" t="str">
        <x:v>Revenue build</x:v>
      </x:c>
      <x:c r="H7" s="233" t="str">
        <x:v>Digitalización, fees, POI, DPP, recurrencia, marketplace, verticales y capa financiera.</x:v>
      </x:c>
    </x:row>
    <x:row r="8">
      <x:c r="A8" s="233" t="str">
        <x:v>Personal</x:v>
      </x:c>
      <x:c r="B8" s="233" t="str">
        <x:v>FTE, salario bruto y coste empresa</x:v>
      </x:c>
      <x:c r="C8" s="233" t="str">
        <x:v>EUR M / FTE</x:v>
      </x:c>
      <x:c r="D8" s="233" t="str">
        <x:v>2026/27-2030</x:v>
      </x:c>
      <x:c r="E8" s="233" t="str">
        <x:v>Modelo CUEVA</x:v>
      </x:c>
      <x:c r="F8" s="233" t="str">
        <x:v>03_Detalle_Personal / 03b_Coste_Empresa_SS</x:v>
      </x:c>
      <x:c r="G8" s="233" t="str">
        <x:v>OPEX personal</x:v>
      </x:c>
      <x:c r="H8" s="233" t="str">
        <x:v>Incluye crecimiento salarial y conciliación de Seguridad Social / coste empresa.</x:v>
      </x:c>
    </x:row>
    <x:row r="9">
      <x:c r="A9" s="233" t="str">
        <x:v>OPEX operativo</x:v>
      </x:c>
      <x:c r="B9" s="233" t="str">
        <x:v>Costes no personales por área y driver</x:v>
      </x:c>
      <x:c r="C9" s="233" t="str">
        <x:v>EUR M</x:v>
      </x:c>
      <x:c r="D9" s="233" t="str">
        <x:v>2026/27-2030</x:v>
      </x:c>
      <x:c r="E9" s="233" t="str">
        <x:v>Modelo CUEVA</x:v>
      </x:c>
      <x:c r="F9" s="233" t="str">
        <x:v>04_OPEX_Operativo / 05_Detalle_OPEX</x:v>
      </x:c>
      <x:c r="G9" s="233" t="str">
        <x:v>OPEX no-personal</x:v>
      </x:c>
      <x:c r="H9" s="233" t="str">
        <x:v>Incluye tecnología, operaciones, GTM, G&amp;A, viajes, representación y contingencia.</x:v>
      </x:c>
    </x:row>
    <x:row r="10">
      <x:c r="A10" s="233" t="str">
        <x:v>Cuenta de resultados</x:v>
      </x:c>
      <x:c r="B10" s="233" t="str">
        <x:v>Ingresos, margen bruto, OPEX, EBITDA y resultado neto</x:v>
      </x:c>
      <x:c r="C10" s="233" t="str">
        <x:v>EUR M</x:v>
      </x:c>
      <x:c r="D10" s="233" t="str">
        <x:v>2026/27-2030</x:v>
      </x:c>
      <x:c r="E10" s="233" t="str">
        <x:v>Modelo CUEVA</x:v>
      </x:c>
      <x:c r="F10" s="233" t="str">
        <x:v>06_Cuenta_Resultados</x:v>
      </x:c>
      <x:c r="G10" s="233" t="str">
        <x:v>P&amp;L</x:v>
      </x:c>
      <x:c r="H10" s="233" t="str">
        <x:v>La cuenta enlaza con ingresos, margen, OPEX, amortización, financiero e impuestos.</x:v>
      </x:c>
    </x:row>
    <x:row r="11">
      <x:c r="A11" s="233" t="str">
        <x:v>Caja y CAPEX</x:v>
      </x:c>
      <x:c r="B11" s="233" t="str">
        <x:v>Caja operativa, capital circulante y CAPEX</x:v>
      </x:c>
      <x:c r="C11" s="233" t="str">
        <x:v>EUR M</x:v>
      </x:c>
      <x:c r="D11" s="233" t="str">
        <x:v>2026/27-2030</x:v>
      </x:c>
      <x:c r="E11" s="233" t="str">
        <x:v>Modelo CUEVA</x:v>
      </x:c>
      <x:c r="F11" s="233" t="str">
        <x:v>07_Caja_CAPEX_WC</x:v>
      </x:c>
      <x:c r="G11" s="233" t="str">
        <x:v>Lectura de caja</x:v>
      </x:c>
      <x:c r="H11" s="233" t="str">
        <x:v>Permite entender inversión operativa, caja y necesidades del plan.</x:v>
      </x:c>
    </x:row>
    <x:row r="12">
      <x:c r="A12" s="233" t="str">
        <x:v>Controles</x:v>
      </x:c>
      <x:c r="B12" s="233" t="str">
        <x:v>Checks de coherencia</x:v>
      </x:c>
      <x:c r="C12" s="233" t="str">
        <x:v>Estado</x:v>
      </x:c>
      <x:c r="D12" s="233" t="str">
        <x:v>2026/27-2030</x:v>
      </x:c>
      <x:c r="E12" s="233" t="str">
        <x:v>Modelo CUEVA</x:v>
      </x:c>
      <x:c r="F12" s="233" t="str">
        <x:v>08_Control</x:v>
      </x:c>
      <x:c r="G12" s="233" t="str">
        <x:v>Auditoría interna del modelo</x:v>
      </x:c>
      <x:c r="H12" s="233" t="str">
        <x:v>Estado OK/REVISAR/FALLO para consistencia de outputs.</x:v>
      </x:c>
    </x:row>
    <x:row r="13">
      <x:c r="A13" s="233" t="str">
        <x:v>Producto</x:v>
      </x:c>
      <x:c r="B13" s="233" t="str">
        <x:v>Paquetes, TRL, drivers y gates</x:v>
      </x:c>
      <x:c r="C13" s="233" t="str">
        <x:v>Producto</x:v>
      </x:c>
      <x:c r="D13" s="233" t="str">
        <x:v>Actual</x:v>
      </x:c>
      <x:c r="E13" s="233" t="str">
        <x:v>Modelo CUEVA</x:v>
      </x:c>
      <x:c r="F13" s="233" t="str">
        <x:v>10_Paquetes_Producto</x:v>
      </x:c>
      <x:c r="G13" s="233" t="str">
        <x:v>Conexión producto-economía</x:v>
      </x:c>
      <x:c r="H13" s="233" t="str">
        <x:v>Relaciona módulos P0-P5, verticales y activos digitales con monetización.</x:v>
      </x:c>
    </x:row>
    <x:row r="14">
      <x:c r="A14" s="233" t="str">
        <x:v>Activos 26/27</x:v>
      </x:c>
      <x:c r="B14" s="233" t="str">
        <x:v>Proyectos y entregables a ejecutar en el primer tramo</x:v>
      </x:c>
      <x:c r="C14" s="233" t="str">
        <x:v>Gate / evidencia</x:v>
      </x:c>
      <x:c r="D14" s="233" t="str">
        <x:v>2026/27</x:v>
      </x:c>
      <x:c r="E14" s="233" t="str">
        <x:v>Modelo CUEVA</x:v>
      </x:c>
      <x:c r="F14" s="233" t="str">
        <x:v>11_Activos_Plan_26_27</x:v>
      </x:c>
      <x:c r="G14" s="233" t="str">
        <x:v>Plan de activación</x:v>
      </x:c>
      <x:c r="H14" s="233" t="str">
        <x:v>No es una hoja de uso de fondos; es mapa de activos, evidencias y dependencias.</x:v>
      </x:c>
    </x:row>
    <x:row r="15">
      <x:c r="A15" s="233" t="str">
        <x:v>Escenarios</x:v>
      </x:c>
      <x:c r="B15" s="233" t="str">
        <x:v>Guarded, Base y Breakout</x:v>
      </x:c>
      <x:c r="C15" s="233" t="str">
        <x:v>EUR M / EV</x:v>
      </x:c>
      <x:c r="D15" s="233" t="str">
        <x:v>2030</x:v>
      </x:c>
      <x:c r="E15" s="233" t="str">
        <x:v>Modelo CUEVA</x:v>
      </x:c>
      <x:c r="F15" s="233" t="str">
        <x:v>17_Escenarios_2030</x:v>
      </x:c>
      <x:c r="G15" s="233" t="str">
        <x:v>Sensibilidad de escala</x:v>
      </x:c>
      <x:c r="H15" s="233" t="str">
        <x:v>Escenarios de ingresos, EBITDA y EV midpoint.</x:v>
      </x:c>
    </x:row>
    <x:row r="16">
      <x:c r="A16" s="233" t="str">
        <x:v>Confidencialidad</x:v>
      </x:c>
      <x:c r="B16" s="233" t="str">
        <x:v>Uso limitado a evaluación de CUEVA</x:v>
      </x:c>
      <x:c r="C16" s="233" t="str">
        <x:v>N/A</x:v>
      </x:c>
      <x:c r="D16" s="233" t="str">
        <x:v>Actual</x:v>
      </x:c>
      <x:c r="E16" s="233" t="str">
        <x:v>CUEVA</x:v>
      </x:c>
      <x:c r="F16" s="233" t="str">
        <x:v>00_Portada</x:v>
      </x:c>
      <x:c r="G16" s="233" t="str">
        <x:v>Restricción de uso</x:v>
      </x:c>
      <x:c r="H16" s="233" t="str">
        <x:v>No distribuir, copiar ni reproducir sin autorización expresa.</x:v>
      </x:c>
    </x:row>
    <x:row r="17">
      <x:c r="A17" s="233" t="str">
        <x:v>Validación</x:v>
      </x:c>
      <x:c r="B17" s="233" t="str">
        <x:v>Cifras sujetas a revisión final por CUEVA</x:v>
      </x:c>
      <x:c r="C17" s="233" t="str">
        <x:v>N/A</x:v>
      </x:c>
      <x:c r="D17" s="233" t="str">
        <x:v>Actual</x:v>
      </x:c>
      <x:c r="E17" s="233" t="str">
        <x:v>CUEVA</x:v>
      </x:c>
      <x:c r="F17" s="233" t="str">
        <x:v>Modelo completo</x:v>
      </x:c>
      <x:c r="G17" s="233" t="str">
        <x:v>Criterio de uso</x:v>
      </x:c>
      <x:c r="H17" s="233" t="str">
        <x:v>La información definitiva debe ser validada por personal autorizado de CUEVA.</x:v>
      </x:c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2" customWidth="1"/>
    <x:col min="3" max="3" width="34" customWidth="1"/>
    <x:col min="4" max="4" width="34" customWidth="1"/>
    <x:col min="5" max="5" width="34" customWidth="1"/>
    <x:col min="6" max="6" width="34" customWidth="1"/>
    <x:col min="7" max="7" width="34" customWidth="1"/>
    <x:col min="8" max="8" width="34" customWidth="1"/>
  </x:cols>
  <x:sheetData>
    <x:row r="1">
      <x:c r="A1" s="107" t="inlineStr">
        <x:is>
          <x:t xml:space="preserve">10 Paquetes de producto</x:t>
        </x:is>
      </x:c>
      <x:c r="B1" s="108" t="str"/>
      <x:c r="C1" s="109" t="str"/>
      <x:c r="D1" s="109" t="str"/>
      <x:c r="E1" s="109" t="str"/>
      <x:c r="F1" s="109" t="str"/>
      <x:c r="G1" s="109" t="str"/>
      <x:c r="H1" s="110" t="str"/>
    </x:row>
    <x:row r="2">
      <x:c r="A2" s="111" t="str">
        <x:v>Conexión entre producto, entregables, drivers económicos y plan 2030. Se conservan los nombres propios de paquetes/producto.</x:v>
      </x:c>
      <x:c r="B2" s="112"/>
      <x:c r="C2" s="112"/>
      <x:c r="D2" s="112"/>
      <x:c r="E2" s="112"/>
      <x:c r="F2" s="112"/>
      <x:c r="G2" s="112"/>
      <x:c r="H2" s="113"/>
    </x:row>
    <x:row r="3">
      <x:c r="A3" s="13" t="str"/>
      <x:c r="B3" s="14" t="str"/>
      <x:c r="C3" s="14" t="str"/>
      <x:c r="D3" s="14" t="str"/>
      <x:c r="E3" s="14" t="str"/>
      <x:c r="F3" s="14" t="str"/>
      <x:c r="G3" s="14" t="str"/>
      <x:c r="H3" s="15" t="str"/>
    </x:row>
    <x:row r="4">
      <x:c r="A4" s="13" t="n"/>
      <x:c r="B4" s="14" t="n"/>
      <x:c r="C4" s="14" t="n"/>
      <x:c r="D4" s="14" t="n"/>
      <x:c r="E4" s="14" t="n"/>
      <x:c r="F4" s="14" t="n"/>
      <x:c r="G4" s="14" t="n"/>
      <x:c r="H4" s="15" t="n"/>
    </x:row>
    <x:row r="5">
      <x:c r="A5" s="114" t="inlineStr">
        <x:is>
          <x:t xml:space="preserve">Paquete / producto</x:t>
        </x:is>
      </x:c>
      <x:c r="B5" s="115" t="inlineStr">
        <x:is>
          <x:t xml:space="preserve">TRL actual</x:t>
        </x:is>
      </x:c>
      <x:c r="C5" s="115" t="inlineStr">
        <x:is>
          <x:t xml:space="preserve">Rol economico</x:t>
        </x:is>
      </x:c>
      <x:c r="D5" s="115" t="inlineStr">
        <x:is>
          <x:t xml:space="preserve">Driver principal</x:t>
        </x:is>
      </x:c>
      <x:c r="E5" s="115" t="inlineStr">
        <x:is>
          <x:t xml:space="preserve">Tareas clave</x:t>
        </x:is>
      </x:c>
      <x:c r="F5" s="115" t="inlineStr">
        <x:is>
          <x:t xml:space="preserve">Entregable / gate</x:t>
        </x:is>
      </x:c>
      <x:c r="G5" s="115" t="inlineStr">
        <x:is>
          <x:t xml:space="preserve">Hoja economica</x:t>
        </x:is>
      </x:c>
      <x:c r="H5" s="129" t="inlineStr">
        <x:is>
          <x:t xml:space="preserve">Notas</x:t>
        </x:is>
      </x:c>
    </x:row>
    <x:row r="6">
      <x:c r="A6" s="13" t="inlineStr">
        <x:is>
          <x:t xml:space="preserve">P0 Discovery &amp; Blueprint</x:t>
        </x:is>
      </x:c>
      <x:c r="B6" s="14" t="inlineStr">
        <x:is>
          <x:t xml:space="preserve">8/9</x:t>
        </x:is>
      </x:c>
      <x:c r="C6" s="14" t="inlineStr">
        <x:is>
          <x:t xml:space="preserve">Entrada consultiva y configuracion de caso</x:t>
        </x:is>
      </x:c>
      <x:c r="D6" s="14" t="inlineStr">
        <x:is>
          <x:t xml:space="preserve">Partners / proyecto</x:t>
        </x:is>
      </x:c>
      <x:c r="E6" s="14" t="inlineStr">
        <x:is>
          <x:t xml:space="preserve">Diagnostico, parametrizacion, alcance tecnico, plan de datos, mapa de evidencias</x:t>
        </x:is>
      </x:c>
      <x:c r="F6" s="14" t="inlineStr">
        <x:is>
          <x:t xml:space="preserve">Blueprint validado y caso listo para red</x:t>
        </x:is>
      </x:c>
      <x:c r="G6" s="14" t="inlineStr">
        <x:is>
          <x:t xml:space="preserve">02_Detalle_Ingresos</x:t>
        </x:is>
      </x:c>
      <x:c r="H6" s="15" t="inlineStr">
        <x:is>
          <x:t xml:space="preserve">Reduce riesgo de implantacion y acelera activacion.</x:t>
        </x:is>
      </x:c>
    </x:row>
    <x:row r="7">
      <x:c r="A7" s="13" t="inlineStr">
        <x:is>
          <x:t xml:space="preserve">P1 Factory Core</x:t>
        </x:is>
      </x:c>
      <x:c r="B7" s="14" t="inlineStr">
        <x:is>
          <x:t xml:space="preserve">8/9</x:t>
        </x:is>
      </x:c>
      <x:c r="C7" s="14" t="inlineStr">
        <x:is>
          <x:t xml:space="preserve">Digitalizacion fabricante y fee de red</x:t>
        </x:is>
      </x:c>
      <x:c r="D7" s="14" t="inlineStr">
        <x:is>
          <x:t xml:space="preserve">m2 fabricados verificados</x:t>
        </x:is>
      </x:c>
      <x:c r="E7" s="14" t="inlineStr">
        <x:is>
          <x:t xml:space="preserve">Alta fabricante, geometria base, reglas de produccion, trazabilidad de fabrica, conexion con stock</x:t>
        </x:is>
      </x:c>
      <x:c r="F7" s="14" t="inlineStr">
        <x:is>
          <x:t xml:space="preserve">Fabricante operativo en red</x:t>
        </x:is>
      </x:c>
      <x:c r="G7" s="14" t="inlineStr">
        <x:is>
          <x:t xml:space="preserve">02_Detalle_Ingresos</x:t>
        </x:is>
      </x:c>
      <x:c r="H7" s="15" t="inlineStr">
        <x:is>
          <x:t xml:space="preserve">Base del ingreso por fabricante y del trigger de m2.</x:t>
        </x:is>
      </x:c>
    </x:row>
    <x:row r="8">
      <x:c r="A8" s="13" t="inlineStr">
        <x:is>
          <x:t xml:space="preserve">P2 Warehouse &amp; Logistics</x:t>
        </x:is>
      </x:c>
      <x:c r="B8" s="14" t="inlineStr">
        <x:is>
          <x:t xml:space="preserve">8/9</x:t>
        </x:is>
      </x:c>
      <x:c r="C8" s="14" t="inlineStr">
        <x:is>
          <x:t xml:space="preserve">Trazabilidad de stock, preparacion y movimientos</x:t>
        </x:is>
      </x:c>
      <x:c r="D8" s="14" t="inlineStr">
        <x:is>
          <x:t xml:space="preserve">Stock vivo / partners</x:t>
        </x:is>
      </x:c>
      <x:c r="E8" s="14" t="inlineStr">
        <x:is>
          <x:t xml:space="preserve">Lecturas, lotes, ubicaciones, expediciones, integracion con evidencias y reporting</x:t>
        </x:is>
      </x:c>
      <x:c r="F8" s="14" t="inlineStr">
        <x:is>
          <x:t xml:space="preserve">Stock trazable y auditable</x:t>
        </x:is>
      </x:c>
      <x:c r="G8" s="14" t="inlineStr">
        <x:is>
          <x:t xml:space="preserve">02_Detalle_Ingresos</x:t>
        </x:is>
      </x:c>
      <x:c r="H8" s="15" t="inlineStr">
        <x:is>
          <x:t xml:space="preserve">Conecta fabricacion, logistica y datos operativos.</x:t>
        </x:is>
      </x:c>
    </x:row>
    <x:row r="9">
      <x:c r="A9" s="13" t="inlineStr">
        <x:is>
          <x:t xml:space="preserve">P3 Site Proof / POI</x:t>
        </x:is>
      </x:c>
      <x:c r="B9" s="14" t="inlineStr">
        <x:is>
          <x:t xml:space="preserve">8/9</x:t>
        </x:is>
      </x:c>
      <x:c r="C9" s="14" t="inlineStr">
        <x:is>
          <x:t xml:space="preserve">Evidence pack de instalacion</x:t>
        </x:is>
      </x:c>
      <x:c r="D9" s="14" t="inlineStr">
        <x:is>
          <x:t xml:space="preserve">m2 instalados/verificados</x:t>
        </x:is>
      </x:c>
      <x:c r="E9" s="14" t="inlineStr">
        <x:is>
          <x:t xml:space="preserve">Lectura en obra, validacion de montaje, incidencias, cierre POI, fotografia/evidencia</x:t>
        </x:is>
      </x:c>
      <x:c r="F9" s="14" t="inlineStr">
        <x:is>
          <x:t xml:space="preserve">POI cerrado por activo</x:t>
        </x:is>
      </x:c>
      <x:c r="G9" s="14" t="inlineStr">
        <x:is>
          <x:t xml:space="preserve">02_Detalle_Ingresos</x:t>
        </x:is>
      </x:c>
      <x:c r="H9" s="15" t="inlineStr">
        <x:is>
          <x:t xml:space="preserve">Paquete clave para defender evidencia de obra y servicio al cliente.</x:t>
        </x:is>
      </x:c>
    </x:row>
    <x:row r="10">
      <x:c r="A10" s="13" t="inlineStr">
        <x:is>
          <x:t xml:space="preserve">P4 DPP / Carpeta Madre</x:t>
        </x:is>
      </x:c>
      <x:c r="B10" s="14" t="inlineStr">
        <x:is>
          <x:t xml:space="preserve">8/9</x:t>
        </x:is>
      </x:c>
      <x:c r="C10" s="14" t="inlineStr">
        <x:is>
          <x:t xml:space="preserve">Pasaporte documental y dossier vivo</x:t>
        </x:is>
      </x:c>
      <x:c r="D10" s="14" t="inlineStr">
        <x:is>
          <x:t xml:space="preserve">m2 con DPP completado</x:t>
        </x:is>
      </x:c>
      <x:c r="E10" s="14" t="inlineStr">
        <x:is>
          <x:t xml:space="preserve">Documentacion tecnica, evidencias, responsables, permisos, trazabilidad documental</x:t>
        </x:is>
      </x:c>
      <x:c r="F10" s="14" t="inlineStr">
        <x:is>
          <x:t xml:space="preserve">DPP / Carpeta Madre emitida</x:t>
        </x:is>
      </x:c>
      <x:c r="G10" s="14" t="inlineStr">
        <x:is>
          <x:t xml:space="preserve">02_Detalle_Ingresos</x:t>
        </x:is>
      </x:c>
      <x:c r="H10" s="15" t="inlineStr">
        <x:is>
          <x:t xml:space="preserve">Capa documental que convierte el activo en verificable y mantenible.</x:t>
        </x:is>
      </x:c>
    </x:row>
    <x:row r="11">
      <x:c r="A11" s="13" t="inlineStr">
        <x:is>
          <x:t xml:space="preserve">P5 Data / Risk / Market</x:t>
        </x:is>
      </x:c>
      <x:c r="B11" s="14" t="inlineStr">
        <x:is>
          <x:t xml:space="preserve">8/9</x:t>
        </x:is>
      </x:c>
      <x:c r="C11" s="14" t="inlineStr">
        <x:is>
          <x:t xml:space="preserve">Datos, reporting, riesgo y marketplace</x:t>
        </x:is>
      </x:c>
      <x:c r="D11" s="14" t="inlineStr">
        <x:is>
          <x:t xml:space="preserve">Stock vivo / penetracion</x:t>
        </x:is>
      </x:c>
      <x:c r="E11" s="14" t="inlineStr">
        <x:is>
          <x:t xml:space="preserve">Data layers, indicadores, reporting, scoring operativo, permisos, APIs, marketplace</x:t>
        </x:is>
      </x:c>
      <x:c r="F11" s="14" t="inlineStr">
        <x:is>
          <x:t xml:space="preserve">Datos explotables y servicios recurrentes</x:t>
        </x:is>
      </x:c>
      <x:c r="G11" s="14" t="inlineStr">
        <x:is>
          <x:t xml:space="preserve">02_Detalle_Ingresos</x:t>
        </x:is>
      </x:c>
      <x:c r="H11" s="15" t="inlineStr">
        <x:is>
          <x:t xml:space="preserve">Motor de recurrencia y expansion de margen.</x:t>
        </x:is>
      </x:c>
    </x:row>
    <x:row r="12">
      <x:c r="A12" s="13" t="inlineStr">
        <x:is>
          <x:t xml:space="preserve">CUEVA Designer</x:t>
        </x:is>
      </x:c>
      <x:c r="B12" s="14" t="inlineStr">
        <x:is>
          <x:t xml:space="preserve">8/9</x:t>
        </x:is>
      </x:c>
      <x:c r="C12" s="14" t="inlineStr">
        <x:is>
          <x:t xml:space="preserve">Diseño/generativo/API</x:t>
        </x:is>
      </x:c>
      <x:c r="D12" s="14" t="inlineStr">
        <x:is>
          <x:t xml:space="preserve">m2 emitidos x adopcion</x:t>
        </x:is>
      </x:c>
      <x:c r="E12" s="14" t="inlineStr">
        <x:is>
          <x:t xml:space="preserve">Configurador, generacion de proyectos, reglas, outputs y conexion a API</x:t>
        </x:is>
      </x:c>
      <x:c r="F12" s="14" t="inlineStr">
        <x:is>
          <x:t xml:space="preserve">Proyecto generado/validado</x:t>
        </x:is>
      </x:c>
      <x:c r="G12" s="14" t="inlineStr">
        <x:is>
          <x:t xml:space="preserve">02_Detalle_Ingresos</x:t>
        </x:is>
      </x:c>
      <x:c r="H12" s="15" t="inlineStr">
        <x:is>
          <x:t xml:space="preserve">Integra el desarrollo de vivienda generativa en la plataforma.</x:t>
        </x:is>
      </x:c>
    </x:row>
    <x:row r="13">
      <x:c r="A13" s="13" t="inlineStr">
        <x:is>
          <x:t xml:space="preserve">CUEVA Manager</x:t>
        </x:is>
      </x:c>
      <x:c r="B13" s="14" t="inlineStr">
        <x:is>
          <x:t xml:space="preserve">8/9</x:t>
        </x:is>
      </x:c>
      <x:c r="C13" s="14" t="inlineStr">
        <x:is>
          <x:t xml:space="preserve">Gestion operacional de proyectos y agentes</x:t>
        </x:is>
      </x:c>
      <x:c r="D13" s="14" t="inlineStr">
        <x:is>
          <x:t xml:space="preserve">m2 emitidos x adopcion</x:t>
        </x:is>
      </x:c>
      <x:c r="E13" s="14" t="inlineStr">
        <x:is>
          <x:t xml:space="preserve">Project room, permisos, tareas, control de cambios, colaboracion y estado</x:t>
        </x:is>
      </x:c>
      <x:c r="F13" s="14" t="inlineStr">
        <x:is>
          <x:t xml:space="preserve">Proyecto gestionado en plataforma</x:t>
        </x:is>
      </x:c>
      <x:c r="G13" s="14" t="inlineStr">
        <x:is>
          <x:t xml:space="preserve">02_Detalle_Ingresos</x:t>
        </x:is>
      </x:c>
      <x:c r="H13" s="15" t="inlineStr">
        <x:is>
          <x:t xml:space="preserve">Interfaz de gestion para agentes de la red.</x:t>
        </x:is>
      </x:c>
    </x:row>
    <x:row r="14">
      <x:c r="A14" s="13" t="inlineStr">
        <x:is>
          <x:t xml:space="preserve">iPath</x:t>
        </x:is>
      </x:c>
      <x:c r="B14" s="14" t="inlineStr">
        <x:is>
          <x:t xml:space="preserve">8/9</x:t>
        </x:is>
      </x:c>
      <x:c r="C14" s="14" t="inlineStr">
        <x:is>
          <x:t xml:space="preserve">Vertical de infraestructura urbana industrializada</x:t>
        </x:is>
      </x:c>
      <x:c r="D14" s="14" t="inlineStr">
        <x:is>
          <x:t xml:space="preserve">Revenue vertical</x:t>
        </x:is>
      </x:c>
      <x:c r="E14" s="14" t="inlineStr">
        <x:is>
          <x:t xml:space="preserve">Diseño de rutas, piezas, instalacion, datos, mantenimiento y reporting</x:t>
        </x:is>
      </x:c>
      <x:c r="F14" s="14" t="inlineStr">
        <x:is>
          <x:t xml:space="preserve">Caso iPath operativo</x:t>
        </x:is>
      </x:c>
      <x:c r="G14" s="14" t="inlineStr">
        <x:is>
          <x:t xml:space="preserve">02_Detalle_Ingresos</x:t>
        </x:is>
      </x:c>
      <x:c r="H14" s="15" t="inlineStr">
        <x:is>
          <x:t xml:space="preserve">Linea de producto con ingresos propios.</x:t>
        </x:is>
      </x:c>
    </x:row>
    <x:row r="15">
      <x:c r="A15" s="13" t="inlineStr">
        <x:is>
          <x:t xml:space="preserve">Moolde</x:t>
        </x:is>
      </x:c>
      <x:c r="B15" s="14" t="inlineStr">
        <x:is>
          <x:t xml:space="preserve">8/9</x:t>
        </x:is>
      </x:c>
      <x:c r="C15" s="14" t="inlineStr">
        <x:is>
          <x:t xml:space="preserve">Circularidad/materiales</x:t>
        </x:is>
      </x:c>
      <x:c r="D15" s="14" t="inlineStr">
        <x:is>
          <x:t xml:space="preserve">Revenue vertical</x:t>
        </x:is>
      </x:c>
      <x:c r="E15" s="14" t="inlineStr">
        <x:is>
          <x:t xml:space="preserve">Registro de materiales, stock, trazabilidad, recuperacion y valorizacion</x:t>
        </x:is>
      </x:c>
      <x:c r="F15" s="14" t="inlineStr">
        <x:is>
          <x:t xml:space="preserve">Caso Moolde operativo</x:t>
        </x:is>
      </x:c>
      <x:c r="G15" s="14" t="inlineStr">
        <x:is>
          <x:t xml:space="preserve">02_Detalle_Ingresos</x:t>
        </x:is>
      </x:c>
      <x:c r="H15" s="15" t="inlineStr">
        <x:is>
          <x:t xml:space="preserve">Complementa circularidad, residuos y eficiencia material.</x:t>
        </x:is>
      </x:c>
    </x:row>
    <x:row r="16">
      <x:c r="A16" s="13" t="inlineStr">
        <x:is>
          <x:t xml:space="preserve">Activos digitales</x:t>
        </x:is>
      </x:c>
      <x:c r="B16" s="14" t="inlineStr">
        <x:is>
          <x:t xml:space="preserve">6/7</x:t>
        </x:is>
      </x:c>
      <x:c r="C16" s="14" t="inlineStr">
        <x:is>
          <x:t xml:space="preserve">Capa financiera, tokenizacion y modelos NFT</x:t>
        </x:is>
      </x:c>
      <x:c r="D16" s="14" t="inlineStr">
        <x:is>
          <x:t xml:space="preserve">Financial Layer</x:t>
        </x:is>
      </x:c>
      <x:c r="E16" s="14" t="inlineStr">
        <x:is>
          <x:t xml:space="preserve">Modelo financiero, identidad digital, derechos, gobernanza y evidencias asociadas</x:t>
        </x:is>
      </x:c>
      <x:c r="F16" s="14" t="inlineStr">
        <x:is>
          <x:t xml:space="preserve">Capa financiera preparada para siguiente fase</x:t>
        </x:is>
      </x:c>
      <x:c r="G16" s="14" t="inlineStr">
        <x:is>
          <x:t xml:space="preserve">02_Detalle_Ingresos</x:t>
        </x:is>
      </x:c>
      <x:c r="H16" s="15" t="inlineStr">
        <x:is>
          <x:t xml:space="preserve">Se mantiene en TRL inferior frente al core operativo.</x:t>
        </x:is>
      </x:c>
    </x:row>
    <x:row r="17">
      <x:c r="A17" s="13" t="inlineStr">
        <x:is>
          <x:t xml:space="preserve">Red de partners</x:t>
        </x:is>
      </x:c>
      <x:c r="B17" s="14" t="inlineStr">
        <x:is>
          <x:t xml:space="preserve">8/9</x:t>
        </x:is>
      </x:c>
      <x:c r="C17" s="14" t="inlineStr">
        <x:is>
          <x:t xml:space="preserve">Escala comercial y operativa</x:t>
        </x:is>
      </x:c>
      <x:c r="D17" s="14" t="inlineStr">
        <x:is>
          <x:t xml:space="preserve">Partners activos</x:t>
        </x:is>
      </x:c>
      <x:c r="E17" s="14" t="inlineStr">
        <x:is>
          <x:t xml:space="preserve">Onboarding, formacion, soporte, protocolos, QA, enablement y seguimiento</x:t>
        </x:is>
      </x:c>
      <x:c r="F17" s="14" t="inlineStr">
        <x:is>
          <x:t xml:space="preserve">Partner activo y medible</x:t>
        </x:is>
      </x:c>
      <x:c r="G17" s="14" t="inlineStr">
        <x:is>
          <x:t xml:space="preserve">03_Detalle_Personal / 04_OPEX_Operativo</x:t>
        </x:is>
      </x:c>
      <x:c r="H17" s="15" t="inlineStr">
        <x:is>
          <x:t xml:space="preserve">Afecta ingresos, OPEX, capacidad de entrega y velocidad de escala.</x:t>
        </x:is>
      </x:c>
    </x:row>
    <x:row r="18">
      <x:c r="A18" s="13" t="n"/>
      <x:c r="B18" s="14" t="n"/>
      <x:c r="C18" s="14" t="n"/>
      <x:c r="D18" s="14" t="n"/>
      <x:c r="E18" s="14" t="n"/>
      <x:c r="F18" s="14" t="n"/>
      <x:c r="G18" s="14" t="n"/>
      <x:c r="H18" s="15" t="n"/>
    </x:row>
    <x:row r="19">
      <x:c r="A19" s="13" t="n"/>
      <x:c r="B19" s="14" t="n"/>
      <x:c r="C19" s="14" t="n"/>
      <x:c r="D19" s="14" t="n"/>
      <x:c r="E19" s="14" t="n"/>
      <x:c r="F19" s="14" t="n"/>
      <x:c r="G19" s="14" t="n"/>
      <x:c r="H19" s="15" t="n"/>
    </x:row>
    <x:row r="20">
      <x:c r="A20" s="13" t="n"/>
      <x:c r="B20" s="14" t="n"/>
      <x:c r="C20" s="14" t="n"/>
      <x:c r="D20" s="14" t="n"/>
      <x:c r="E20" s="14" t="n"/>
      <x:c r="F20" s="14" t="n"/>
      <x:c r="G20" s="14" t="n"/>
      <x:c r="H20" s="15" t="n"/>
    </x:row>
    <x:row r="21">
      <x:c r="A21" s="13" t="n"/>
      <x:c r="B21" s="14" t="n"/>
      <x:c r="C21" s="14" t="n"/>
      <x:c r="D21" s="14" t="n"/>
      <x:c r="E21" s="14" t="n"/>
      <x:c r="F21" s="14" t="n"/>
      <x:c r="G21" s="14" t="n"/>
      <x:c r="H21" s="15" t="n"/>
    </x:row>
    <x:row r="22">
      <x:c r="A22" s="13" t="n"/>
      <x:c r="B22" s="14" t="n"/>
      <x:c r="C22" s="14" t="n"/>
      <x:c r="D22" s="14" t="n"/>
      <x:c r="E22" s="14" t="n"/>
      <x:c r="F22" s="14" t="n"/>
      <x:c r="G22" s="14" t="n"/>
      <x:c r="H22" s="15" t="n"/>
    </x:row>
    <x:row r="23">
      <x:c r="A23" s="13" t="n"/>
      <x:c r="B23" s="14" t="n"/>
      <x:c r="C23" s="14" t="n"/>
      <x:c r="D23" s="14" t="n"/>
      <x:c r="E23" s="14" t="n"/>
      <x:c r="F23" s="14" t="n"/>
      <x:c r="G23" s="14" t="n"/>
      <x:c r="H23" s="15" t="n"/>
    </x:row>
    <x:row r="24">
      <x:c r="A24" s="13" t="n"/>
      <x:c r="B24" s="14" t="n"/>
      <x:c r="C24" s="14" t="n"/>
      <x:c r="D24" s="14" t="n"/>
      <x:c r="E24" s="14" t="n"/>
      <x:c r="F24" s="14" t="n"/>
      <x:c r="G24" s="14" t="n"/>
      <x:c r="H24" s="15" t="n"/>
    </x:row>
    <x:row r="25">
      <x:c r="A25" s="13" t="n"/>
      <x:c r="B25" s="14" t="n"/>
      <x:c r="C25" s="14" t="n"/>
      <x:c r="D25" s="14" t="n"/>
      <x:c r="E25" s="14" t="n"/>
      <x:c r="F25" s="14" t="n"/>
      <x:c r="G25" s="14" t="n"/>
      <x:c r="H25" s="15" t="n"/>
    </x:row>
    <x:row r="26">
      <x:c r="A26" s="13" t="n"/>
      <x:c r="B26" s="14" t="n"/>
      <x:c r="C26" s="14" t="n"/>
      <x:c r="D26" s="14" t="n"/>
      <x:c r="E26" s="14" t="n"/>
      <x:c r="F26" s="14" t="n"/>
      <x:c r="G26" s="14" t="n"/>
      <x:c r="H26" s="15" t="n"/>
    </x:row>
    <x:row r="27">
      <x:c r="A27" s="13" t="n"/>
      <x:c r="B27" s="14" t="n"/>
      <x:c r="C27" s="14" t="n"/>
      <x:c r="D27" s="14" t="n"/>
      <x:c r="E27" s="14" t="n"/>
      <x:c r="F27" s="14" t="n"/>
      <x:c r="G27" s="14" t="n"/>
      <x:c r="H27" s="15" t="n"/>
    </x:row>
    <x:row r="28">
      <x:c r="A28" s="13" t="n"/>
      <x:c r="B28" s="14" t="n"/>
      <x:c r="C28" s="14" t="n"/>
      <x:c r="D28" s="14" t="n"/>
      <x:c r="E28" s="14" t="n"/>
      <x:c r="F28" s="14" t="n"/>
      <x:c r="G28" s="14" t="n"/>
      <x:c r="H28" s="15" t="n"/>
    </x:row>
    <x:row r="29">
      <x:c r="A29" s="13" t="n"/>
      <x:c r="B29" s="14" t="n"/>
      <x:c r="C29" s="14" t="n"/>
      <x:c r="D29" s="14" t="n"/>
      <x:c r="E29" s="14" t="n"/>
      <x:c r="F29" s="14" t="n"/>
      <x:c r="G29" s="14" t="n"/>
      <x:c r="H29" s="15" t="n"/>
    </x:row>
    <x:row r="30">
      <x:c r="A30" s="13" t="n"/>
      <x:c r="B30" s="14" t="n"/>
      <x:c r="C30" s="14" t="n"/>
      <x:c r="D30" s="14" t="n"/>
      <x:c r="E30" s="14" t="n"/>
      <x:c r="F30" s="14" t="n"/>
      <x:c r="G30" s="14" t="n"/>
      <x:c r="H30" s="15" t="n"/>
    </x:row>
    <x:row r="31">
      <x:c r="A31" s="13" t="n"/>
      <x:c r="B31" s="14" t="n"/>
      <x:c r="C31" s="14" t="n"/>
      <x:c r="D31" s="14" t="n"/>
      <x:c r="E31" s="14" t="n"/>
      <x:c r="F31" s="14" t="n"/>
      <x:c r="G31" s="14" t="n"/>
      <x:c r="H31" s="15" t="n"/>
    </x:row>
    <x:row r="32">
      <x:c r="A32" s="13" t="n"/>
      <x:c r="B32" s="14" t="n"/>
      <x:c r="C32" s="14" t="n"/>
      <x:c r="D32" s="14" t="n"/>
      <x:c r="E32" s="14" t="n"/>
      <x:c r="F32" s="14" t="n"/>
      <x:c r="G32" s="14" t="n"/>
      <x:c r="H32" s="15" t="n"/>
    </x:row>
    <x:row r="33">
      <x:c r="A33" s="13" t="n"/>
      <x:c r="B33" s="14" t="n"/>
      <x:c r="C33" s="14" t="n"/>
      <x:c r="D33" s="14" t="n"/>
      <x:c r="E33" s="14" t="n"/>
      <x:c r="F33" s="14" t="n"/>
      <x:c r="G33" s="14" t="n"/>
      <x:c r="H33" s="15" t="n"/>
    </x:row>
    <x:row r="34">
      <x:c r="A34" s="13" t="n"/>
      <x:c r="B34" s="14" t="n"/>
      <x:c r="C34" s="14" t="n"/>
      <x:c r="D34" s="14" t="n"/>
      <x:c r="E34" s="14" t="n"/>
      <x:c r="F34" s="14" t="n"/>
      <x:c r="G34" s="14" t="n"/>
      <x:c r="H34" s="15" t="n"/>
    </x:row>
    <x:row r="35">
      <x:c r="A35" s="13" t="n"/>
      <x:c r="B35" s="14" t="n"/>
      <x:c r="C35" s="14" t="n"/>
      <x:c r="D35" s="14" t="n"/>
      <x:c r="E35" s="14" t="n"/>
      <x:c r="F35" s="14" t="n"/>
      <x:c r="G35" s="14" t="n"/>
      <x:c r="H35" s="15" t="n"/>
    </x:row>
    <x:row r="36">
      <x:c r="A36" s="13" t="n"/>
      <x:c r="B36" s="14" t="n"/>
      <x:c r="C36" s="14" t="n"/>
      <x:c r="D36" s="14" t="n"/>
      <x:c r="E36" s="14" t="n"/>
      <x:c r="F36" s="14" t="n"/>
      <x:c r="G36" s="14" t="n"/>
      <x:c r="H36" s="15" t="n"/>
    </x:row>
    <x:row r="37">
      <x:c r="A37" s="13" t="n"/>
      <x:c r="B37" s="14" t="n"/>
      <x:c r="C37" s="14" t="n"/>
      <x:c r="D37" s="14" t="n"/>
      <x:c r="E37" s="14" t="n"/>
      <x:c r="F37" s="14" t="n"/>
      <x:c r="G37" s="14" t="n"/>
      <x:c r="H37" s="15" t="n"/>
    </x:row>
    <x:row r="38">
      <x:c r="A38" s="13" t="n"/>
      <x:c r="B38" s="14" t="n"/>
      <x:c r="C38" s="14" t="n"/>
      <x:c r="D38" s="14" t="n"/>
      <x:c r="E38" s="14" t="n"/>
      <x:c r="F38" s="14" t="n"/>
      <x:c r="G38" s="14" t="n"/>
      <x:c r="H38" s="15" t="n"/>
    </x:row>
    <x:row r="39">
      <x:c r="A39" s="13" t="n"/>
      <x:c r="B39" s="14" t="n"/>
      <x:c r="C39" s="14" t="n"/>
      <x:c r="D39" s="14" t="n"/>
      <x:c r="E39" s="14" t="n"/>
      <x:c r="F39" s="14" t="n"/>
      <x:c r="G39" s="14" t="n"/>
      <x:c r="H39" s="15" t="n"/>
    </x:row>
    <x:row r="40">
      <x:c r="A40" s="13" t="n"/>
      <x:c r="B40" s="14" t="n"/>
      <x:c r="C40" s="14" t="n"/>
      <x:c r="D40" s="14" t="n"/>
      <x:c r="E40" s="14" t="n"/>
      <x:c r="F40" s="14" t="n"/>
      <x:c r="G40" s="14" t="n"/>
      <x:c r="H40" s="15" t="n"/>
    </x:row>
    <x:row r="41">
      <x:c r="A41" s="13" t="n"/>
      <x:c r="B41" s="14" t="n"/>
      <x:c r="C41" s="14" t="n"/>
      <x:c r="D41" s="14" t="n"/>
      <x:c r="E41" s="14" t="n"/>
      <x:c r="F41" s="14" t="n"/>
      <x:c r="G41" s="14" t="n"/>
      <x:c r="H41" s="15" t="n"/>
    </x:row>
    <x:row r="42">
      <x:c r="A42" s="13" t="n"/>
      <x:c r="B42" s="14" t="n"/>
      <x:c r="C42" s="14" t="n"/>
      <x:c r="D42" s="14" t="n"/>
      <x:c r="E42" s="14" t="n"/>
      <x:c r="F42" s="14" t="n"/>
      <x:c r="G42" s="14" t="n"/>
      <x:c r="H42" s="15" t="n"/>
    </x:row>
    <x:row r="43">
      <x:c r="A43" s="13" t="n"/>
      <x:c r="B43" s="14" t="n"/>
      <x:c r="C43" s="14" t="n"/>
      <x:c r="D43" s="14" t="n"/>
      <x:c r="E43" s="14" t="n"/>
      <x:c r="F43" s="14" t="n"/>
      <x:c r="G43" s="14" t="n"/>
      <x:c r="H43" s="15" t="n"/>
    </x:row>
    <x:row r="44">
      <x:c r="A44" s="13" t="n"/>
      <x:c r="B44" s="14" t="n"/>
      <x:c r="C44" s="14" t="n"/>
      <x:c r="D44" s="14" t="n"/>
      <x:c r="E44" s="14" t="n"/>
      <x:c r="F44" s="14" t="n"/>
      <x:c r="G44" s="14" t="n"/>
      <x:c r="H44" s="15" t="n"/>
    </x:row>
    <x:row r="45">
      <x:c r="A45" s="13" t="n"/>
      <x:c r="B45" s="14" t="n"/>
      <x:c r="C45" s="14" t="n"/>
      <x:c r="D45" s="14" t="n"/>
      <x:c r="E45" s="14" t="n"/>
      <x:c r="F45" s="14" t="n"/>
      <x:c r="G45" s="14" t="n"/>
      <x:c r="H45" s="15" t="n"/>
    </x:row>
    <x:row r="46">
      <x:c r="A46" s="13" t="n"/>
      <x:c r="B46" s="14" t="n"/>
      <x:c r="C46" s="14" t="n"/>
      <x:c r="D46" s="14" t="n"/>
      <x:c r="E46" s="14" t="n"/>
      <x:c r="F46" s="14" t="n"/>
      <x:c r="G46" s="14" t="n"/>
      <x:c r="H46" s="15" t="n"/>
    </x:row>
    <x:row r="47">
      <x:c r="A47" s="13" t="n"/>
      <x:c r="B47" s="14" t="n"/>
      <x:c r="C47" s="14" t="n"/>
      <x:c r="D47" s="14" t="n"/>
      <x:c r="E47" s="14" t="n"/>
      <x:c r="F47" s="14" t="n"/>
      <x:c r="G47" s="14" t="n"/>
      <x:c r="H47" s="15" t="n"/>
    </x:row>
    <x:row r="48">
      <x:c r="A48" s="13" t="n"/>
      <x:c r="B48" s="14" t="n"/>
      <x:c r="C48" s="14" t="n"/>
      <x:c r="D48" s="14" t="n"/>
      <x:c r="E48" s="14" t="n"/>
      <x:c r="F48" s="14" t="n"/>
      <x:c r="G48" s="14" t="n"/>
      <x:c r="H48" s="15" t="n"/>
    </x:row>
    <x:row r="49">
      <x:c r="A49" s="13" t="n"/>
      <x:c r="B49" s="14" t="n"/>
      <x:c r="C49" s="14" t="n"/>
      <x:c r="D49" s="14" t="n"/>
      <x:c r="E49" s="14" t="n"/>
      <x:c r="F49" s="14" t="n"/>
      <x:c r="G49" s="14" t="n"/>
      <x:c r="H49" s="15" t="n"/>
    </x:row>
    <x:row r="50">
      <x:c r="A50" s="13" t="n"/>
      <x:c r="B50" s="14" t="n"/>
      <x:c r="C50" s="14" t="n"/>
      <x:c r="D50" s="14" t="n"/>
      <x:c r="E50" s="14" t="n"/>
      <x:c r="F50" s="14" t="n"/>
      <x:c r="G50" s="14" t="n"/>
      <x:c r="H50" s="15" t="n"/>
    </x:row>
    <x:row r="51">
      <x:c r="A51" s="13" t="n"/>
      <x:c r="B51" s="14" t="n"/>
      <x:c r="C51" s="14" t="n"/>
      <x:c r="D51" s="14" t="n"/>
      <x:c r="E51" s="14" t="n"/>
      <x:c r="F51" s="14" t="n"/>
      <x:c r="G51" s="14" t="n"/>
      <x:c r="H51" s="15" t="n"/>
    </x:row>
    <x:row r="52">
      <x:c r="A52" s="13" t="n"/>
      <x:c r="B52" s="14" t="n"/>
      <x:c r="C52" s="14" t="n"/>
      <x:c r="D52" s="14" t="n"/>
      <x:c r="E52" s="14" t="n"/>
      <x:c r="F52" s="14" t="n"/>
      <x:c r="G52" s="14" t="n"/>
      <x:c r="H52" s="15" t="n"/>
    </x:row>
    <x:row r="53">
      <x:c r="A53" s="13" t="n"/>
      <x:c r="B53" s="14" t="n"/>
      <x:c r="C53" s="14" t="n"/>
      <x:c r="D53" s="14" t="n"/>
      <x:c r="E53" s="14" t="n"/>
      <x:c r="F53" s="14" t="n"/>
      <x:c r="G53" s="14" t="n"/>
      <x:c r="H53" s="15" t="n"/>
    </x:row>
    <x:row r="54">
      <x:c r="A54" s="13" t="n"/>
      <x:c r="B54" s="14" t="n"/>
      <x:c r="C54" s="14" t="n"/>
      <x:c r="D54" s="14" t="n"/>
      <x:c r="E54" s="14" t="n"/>
      <x:c r="F54" s="14" t="n"/>
      <x:c r="G54" s="14" t="n"/>
      <x:c r="H54" s="15" t="n"/>
    </x:row>
    <x:row r="55">
      <x:c r="A55" s="13" t="n"/>
      <x:c r="B55" s="14" t="n"/>
      <x:c r="C55" s="14" t="n"/>
      <x:c r="D55" s="14" t="n"/>
      <x:c r="E55" s="14" t="n"/>
      <x:c r="F55" s="14" t="n"/>
      <x:c r="G55" s="14" t="n"/>
      <x:c r="H55" s="15" t="n"/>
    </x:row>
    <x:row r="56">
      <x:c r="A56" s="13" t="n"/>
      <x:c r="B56" s="14" t="n"/>
      <x:c r="C56" s="14" t="n"/>
      <x:c r="D56" s="14" t="n"/>
      <x:c r="E56" s="14" t="n"/>
      <x:c r="F56" s="14" t="n"/>
      <x:c r="G56" s="14" t="n"/>
      <x:c r="H56" s="15" t="n"/>
    </x:row>
    <x:row r="57">
      <x:c r="A57" s="13" t="n"/>
      <x:c r="B57" s="14" t="n"/>
      <x:c r="C57" s="14" t="n"/>
      <x:c r="D57" s="14" t="n"/>
      <x:c r="E57" s="14" t="n"/>
      <x:c r="F57" s="14" t="n"/>
      <x:c r="G57" s="14" t="n"/>
      <x:c r="H57" s="15" t="n"/>
    </x:row>
    <x:row r="58">
      <x:c r="A58" s="13" t="n"/>
      <x:c r="B58" s="14" t="n"/>
      <x:c r="C58" s="14" t="n"/>
      <x:c r="D58" s="14" t="n"/>
      <x:c r="E58" s="14" t="n"/>
      <x:c r="F58" s="14" t="n"/>
      <x:c r="G58" s="14" t="n"/>
      <x:c r="H58" s="15" t="n"/>
    </x:row>
    <x:row r="59">
      <x:c r="A59" s="13" t="n"/>
      <x:c r="B59" s="14" t="n"/>
      <x:c r="C59" s="14" t="n"/>
      <x:c r="D59" s="14" t="n"/>
      <x:c r="E59" s="14" t="n"/>
      <x:c r="F59" s="14" t="n"/>
      <x:c r="G59" s="14" t="n"/>
      <x:c r="H59" s="15" t="n"/>
    </x:row>
    <x:row r="60">
      <x:c r="A60" s="13" t="n"/>
      <x:c r="B60" s="14" t="n"/>
      <x:c r="C60" s="14" t="n"/>
      <x:c r="D60" s="14" t="n"/>
      <x:c r="E60" s="14" t="n"/>
      <x:c r="F60" s="14" t="n"/>
      <x:c r="G60" s="14" t="n"/>
      <x:c r="H60" s="15" t="n"/>
    </x:row>
    <x:row r="61">
      <x:c r="A61" s="13" t="n"/>
      <x:c r="B61" s="14" t="n"/>
      <x:c r="C61" s="14" t="n"/>
      <x:c r="D61" s="14" t="n"/>
      <x:c r="E61" s="14" t="n"/>
      <x:c r="F61" s="14" t="n"/>
      <x:c r="G61" s="14" t="n"/>
      <x:c r="H61" s="15" t="n"/>
    </x:row>
    <x:row r="62">
      <x:c r="A62" s="13" t="n"/>
      <x:c r="B62" s="14" t="n"/>
      <x:c r="C62" s="14" t="n"/>
      <x:c r="D62" s="14" t="n"/>
      <x:c r="E62" s="14" t="n"/>
      <x:c r="F62" s="14" t="n"/>
      <x:c r="G62" s="14" t="n"/>
      <x:c r="H62" s="15" t="n"/>
    </x:row>
    <x:row r="63">
      <x:c r="A63" s="13" t="n"/>
      <x:c r="B63" s="14" t="n"/>
      <x:c r="C63" s="14" t="n"/>
      <x:c r="D63" s="14" t="n"/>
      <x:c r="E63" s="14" t="n"/>
      <x:c r="F63" s="14" t="n"/>
      <x:c r="G63" s="14" t="n"/>
      <x:c r="H63" s="15" t="n"/>
    </x:row>
    <x:row r="64">
      <x:c r="A64" s="13" t="n"/>
      <x:c r="B64" s="14" t="n"/>
      <x:c r="C64" s="14" t="n"/>
      <x:c r="D64" s="14" t="n"/>
      <x:c r="E64" s="14" t="n"/>
      <x:c r="F64" s="14" t="n"/>
      <x:c r="G64" s="14" t="n"/>
      <x:c r="H64" s="15" t="n"/>
    </x:row>
    <x:row r="65">
      <x:c r="A65" s="13" t="n"/>
      <x:c r="B65" s="14" t="n"/>
      <x:c r="C65" s="14" t="n"/>
      <x:c r="D65" s="14" t="n"/>
      <x:c r="E65" s="14" t="n"/>
      <x:c r="F65" s="14" t="n"/>
      <x:c r="G65" s="14" t="n"/>
      <x:c r="H65" s="15" t="n"/>
    </x:row>
    <x:row r="66">
      <x:c r="A66" s="13" t="n"/>
      <x:c r="B66" s="14" t="n"/>
      <x:c r="C66" s="14" t="n"/>
      <x:c r="D66" s="14" t="n"/>
      <x:c r="E66" s="14" t="n"/>
      <x:c r="F66" s="14" t="n"/>
      <x:c r="G66" s="14" t="n"/>
      <x:c r="H66" s="15" t="n"/>
    </x:row>
    <x:row r="67">
      <x:c r="A67" s="13" t="n"/>
      <x:c r="B67" s="14" t="n"/>
      <x:c r="C67" s="14" t="n"/>
      <x:c r="D67" s="14" t="n"/>
      <x:c r="E67" s="14" t="n"/>
      <x:c r="F67" s="14" t="n"/>
      <x:c r="G67" s="14" t="n"/>
      <x:c r="H67" s="15" t="n"/>
    </x:row>
    <x:row r="68">
      <x:c r="A68" s="13" t="n"/>
      <x:c r="B68" s="14" t="n"/>
      <x:c r="C68" s="14" t="n"/>
      <x:c r="D68" s="14" t="n"/>
      <x:c r="E68" s="14" t="n"/>
      <x:c r="F68" s="14" t="n"/>
      <x:c r="G68" s="14" t="n"/>
      <x:c r="H68" s="15" t="n"/>
    </x:row>
    <x:row r="69">
      <x:c r="A69" s="13" t="n"/>
      <x:c r="B69" s="14" t="n"/>
      <x:c r="C69" s="14" t="n"/>
      <x:c r="D69" s="14" t="n"/>
      <x:c r="E69" s="14" t="n"/>
      <x:c r="F69" s="14" t="n"/>
      <x:c r="G69" s="14" t="n"/>
      <x:c r="H69" s="15" t="n"/>
    </x:row>
    <x:row r="70">
      <x:c r="A70" s="13" t="n"/>
      <x:c r="B70" s="14" t="n"/>
      <x:c r="C70" s="14" t="n"/>
      <x:c r="D70" s="14" t="n"/>
      <x:c r="E70" s="14" t="n"/>
      <x:c r="F70" s="14" t="n"/>
      <x:c r="G70" s="14" t="n"/>
      <x:c r="H70" s="15" t="n"/>
    </x:row>
    <x:row r="71">
      <x:c r="A71" s="13" t="n"/>
      <x:c r="B71" s="14" t="n"/>
      <x:c r="C71" s="14" t="n"/>
      <x:c r="D71" s="14" t="n"/>
      <x:c r="E71" s="14" t="n"/>
      <x:c r="F71" s="14" t="n"/>
      <x:c r="G71" s="14" t="n"/>
      <x:c r="H71" s="15" t="n"/>
    </x:row>
    <x:row r="72">
      <x:c r="A72" s="13" t="n"/>
      <x:c r="B72" s="14" t="n"/>
      <x:c r="C72" s="14" t="n"/>
      <x:c r="D72" s="14" t="n"/>
      <x:c r="E72" s="14" t="n"/>
      <x:c r="F72" s="14" t="n"/>
      <x:c r="G72" s="14" t="n"/>
      <x:c r="H72" s="15" t="n"/>
    </x:row>
    <x:row r="73">
      <x:c r="A73" s="13" t="n"/>
      <x:c r="B73" s="14" t="n"/>
      <x:c r="C73" s="14" t="n"/>
      <x:c r="D73" s="14" t="n"/>
      <x:c r="E73" s="14" t="n"/>
      <x:c r="F73" s="14" t="n"/>
      <x:c r="G73" s="14" t="n"/>
      <x:c r="H73" s="15" t="n"/>
    </x:row>
    <x:row r="74">
      <x:c r="A74" s="13" t="n"/>
      <x:c r="B74" s="14" t="n"/>
      <x:c r="C74" s="14" t="n"/>
      <x:c r="D74" s="14" t="n"/>
      <x:c r="E74" s="14" t="n"/>
      <x:c r="F74" s="14" t="n"/>
      <x:c r="G74" s="14" t="n"/>
      <x:c r="H74" s="15" t="n"/>
    </x:row>
    <x:row r="75">
      <x:c r="A75" s="13" t="n"/>
      <x:c r="B75" s="14" t="n"/>
      <x:c r="C75" s="14" t="n"/>
      <x:c r="D75" s="14" t="n"/>
      <x:c r="E75" s="14" t="n"/>
      <x:c r="F75" s="14" t="n"/>
      <x:c r="G75" s="14" t="n"/>
      <x:c r="H75" s="15" t="n"/>
    </x:row>
    <x:row r="76">
      <x:c r="A76" s="13" t="n"/>
      <x:c r="B76" s="14" t="n"/>
      <x:c r="C76" s="14" t="n"/>
      <x:c r="D76" s="14" t="n"/>
      <x:c r="E76" s="14" t="n"/>
      <x:c r="F76" s="14" t="n"/>
      <x:c r="G76" s="14" t="n"/>
      <x:c r="H76" s="15" t="n"/>
    </x:row>
    <x:row r="77">
      <x:c r="A77" s="13" t="n"/>
      <x:c r="B77" s="14" t="n"/>
      <x:c r="C77" s="14" t="n"/>
      <x:c r="D77" s="14" t="n"/>
      <x:c r="E77" s="14" t="n"/>
      <x:c r="F77" s="14" t="n"/>
      <x:c r="G77" s="14" t="n"/>
      <x:c r="H77" s="15" t="n"/>
    </x:row>
    <x:row r="78">
      <x:c r="A78" s="13" t="n"/>
      <x:c r="B78" s="14" t="n"/>
      <x:c r="C78" s="14" t="n"/>
      <x:c r="D78" s="14" t="n"/>
      <x:c r="E78" s="14" t="n"/>
      <x:c r="F78" s="14" t="n"/>
      <x:c r="G78" s="14" t="n"/>
      <x:c r="H78" s="15" t="n"/>
    </x:row>
    <x:row r="79">
      <x:c r="A79" s="13" t="n"/>
      <x:c r="B79" s="14" t="n"/>
      <x:c r="C79" s="14" t="n"/>
      <x:c r="D79" s="14" t="n"/>
      <x:c r="E79" s="14" t="n"/>
      <x:c r="F79" s="14" t="n"/>
      <x:c r="G79" s="14" t="n"/>
      <x:c r="H79" s="15" t="n"/>
    </x:row>
    <x:row r="80">
      <x:c r="A80" s="16" t="n"/>
      <x:c r="B80" s="17" t="n"/>
      <x:c r="C80" s="17" t="n"/>
      <x:c r="D80" s="17" t="n"/>
      <x:c r="E80" s="17" t="n"/>
      <x:c r="F80" s="17" t="n"/>
      <x:c r="G80" s="17" t="n"/>
      <x:c r="H80" s="18" t="n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2" customWidth="1"/>
    <x:col min="3" max="3" width="22" customWidth="1"/>
    <x:col min="4" max="4" width="20" customWidth="1"/>
    <x:col min="5" max="5" width="12" customWidth="1"/>
    <x:col min="6" max="6" width="12" customWidth="1"/>
    <x:col min="7" max="7" width="18" customWidth="1"/>
    <x:col min="8" max="8" width="64" customWidth="1"/>
  </x:cols>
  <x:sheetData>
    <x:row r="1" ht="26" customHeight="1">
      <x:c r="A1" s="200" t="inlineStr">
        <x:is>
          <x:t xml:space="preserve">17 Escenarios 2030</x:t>
        </x:is>
      </x:c>
    </x:row>
    <x:row r="2" ht="34" customHeight="1">
      <x:c r="A2" s="201" t="inlineStr">
        <x:is>
          <x:t xml:space="preserve">Escenarios usados por el soporte HTML. La lectura Base toma ingresos y EBITDA directamente de 06_Cuenta_Resultados.</x:t>
        </x:is>
      </x:c>
    </x:row>
    <x:row r="5">
      <x:c r="A5" s="191" t="inlineStr">
        <x:is>
          <x:t xml:space="preserve">Escenario</x:t>
        </x:is>
      </x:c>
      <x:c r="B5" s="191" t="inlineStr">
        <x:is>
          <x:t xml:space="preserve">Ingresos 2030 EUR M</x:t>
        </x:is>
      </x:c>
      <x:c r="C5" s="191" t="inlineStr">
        <x:is>
          <x:t xml:space="preserve">EBITDA 2030 EUR M</x:t>
        </x:is>
      </x:c>
      <x:c r="D5" s="191" t="inlineStr">
        <x:is>
          <x:t xml:space="preserve">EV midpoint EUR M</x:t>
        </x:is>
      </x:c>
      <x:c r="E5" s="191" t="inlineStr">
        <x:is>
          <x:t xml:space="preserve">Revenue x</x:t>
        </x:is>
      </x:c>
      <x:c r="F5" s="191" t="inlineStr">
        <x:is>
          <x:t xml:space="preserve">EBITDA x</x:t>
        </x:is>
      </x:c>
      <x:c r="G5" s="191" t="inlineStr">
        <x:is>
          <x:t xml:space="preserve">Tipo</x:t>
        </x:is>
      </x:c>
      <x:c r="H5" s="191" t="inlineStr">
        <x:is>
          <x:t xml:space="preserve">Notas</x:t>
        </x:is>
      </x:c>
    </x:row>
    <x:row r="6">
      <x:c r="A6" s="203" t="inlineStr">
        <x:is>
          <x:t xml:space="preserve">Guarded</x:t>
        </x:is>
      </x:c>
      <x:c r="B6" s="210" t="n">
        <x:f>'06_Cuenta_Resultados'!E6*0.6400495051022964</x:f>
        <x:v>122.90757999899998</x:v>
      </x:c>
      <x:c r="C6" s="210" t="n">
        <x:f>'06_Cuenta_Resultados'!E22*0.47429645479130084</x:f>
        <x:v>51.165831953536276</x:v>
      </x:c>
      <x:c r="D6" s="210" t="n">
        <x:v>773.1671833415097</x:v>
      </x:c>
      <x:c r="E6" s="211" t="n">
        <x:v>0.6400495051022964</x:v>
      </x:c>
      <x:c r="F6" s="211" t="n">
        <x:v>0.4742964547913008</x:v>
      </x:c>
      <x:c r="G6" s="203" t="inlineStr">
        <x:is>
          <x:t xml:space="preserve">Stress / prudente</x:t>
        </x:is>
      </x:c>
      <x:c r="H6" s="203" t="inlineStr">
        <x:is>
          <x:t xml:space="preserve">Menor adopcion, margen y velocidad comercial.</x:t>
        </x:is>
      </x:c>
    </x:row>
    <x:row r="7">
      <x:c r="A7" s="203" t="inlineStr">
        <x:is>
          <x:t xml:space="preserve">Base</x:t>
        </x:is>
      </x:c>
      <x:c r="B7" s="210" t="n">
        <x:f>'06_Cuenta_Resultados'!E6*1.0</x:f>
        <x:v>192.02824003333333</x:v>
      </x:c>
      <x:c r="C7" s="210" t="n">
        <x:f>'06_Cuenta_Resultados'!E22*1.0</x:f>
        <x:v>107.87732321560401</x:v>
      </x:c>
      <x:c r="D7" s="210" t="n">
        <x:v>1599.787420374</x:v>
      </x:c>
      <x:c r="E7" s="211" t="n">
        <x:v>1</x:v>
      </x:c>
      <x:c r="F7" s="211" t="n">
        <x:v>1</x:v>
      </x:c>
      <x:c r="G7" s="203" t="inlineStr">
        <x:is>
          <x:t xml:space="preserve">BP</x:t>
        </x:is>
      </x:c>
      <x:c r="H7" s="203" t="inlineStr">
        <x:is>
          <x:t xml:space="preserve">Igual a cuenta de resultados 2030.</x:t>
        </x:is>
      </x:c>
    </x:row>
    <x:row r="8">
      <x:c r="A8" s="203" t="inlineStr">
        <x:is>
          <x:t xml:space="preserve">Breakout</x:t>
        </x:is>
      </x:c>
      <x:c r="B8" s="210" t="n">
        <x:f>'06_Cuenta_Resultados'!E6*1.3610513378690114</x:f>
        <x:v>261.360293006</x:v>
      </x:c>
      <x:c r="C8" s="210" t="n">
        <x:f>'06_Cuenta_Resultados'!E22*1.2210058354938547</x:f>
        <x:v>131.7188411637092</x:v>
      </x:c>
      <x:c r="D8" s="210" t="n">
        <x:v>2645.8469284732</x:v>
      </x:c>
      <x:c r="E8" s="211" t="n">
        <x:v>1.361051337869011</x:v>
      </x:c>
      <x:c r="F8" s="211" t="n">
        <x:v>1.221005835493855</x:v>
      </x:c>
      <x:c r="G8" s="203" t="inlineStr">
        <x:is>
          <x:t xml:space="preserve">Expansivo</x:t>
        </x:is>
      </x:c>
      <x:c r="H8" s="203" t="inlineStr">
        <x:is>
          <x:t xml:space="preserve">Capital growth, red acelerada y adopcion internacional.</x:t>
        </x:is>
      </x:c>
    </x:row>
    <x:row r="10">
      <x:c r="A10" s="191" t="inlineStr">
        <x:is>
          <x:t xml:space="preserve">Control</x:t>
        </x:is>
      </x:c>
      <x:c r="B10" s="191" t="inlineStr">
        <x:is>
          <x:t xml:space="preserve">Ingresos</x:t>
        </x:is>
      </x:c>
      <x:c r="C10" s="191" t="inlineStr">
        <x:is>
          <x:t xml:space="preserve">EBITDA</x:t>
        </x:is>
      </x:c>
      <x:c r="D10" s="191" t="inlineStr">
        <x:is>
          <x:t xml:space="preserve">Estado</x:t>
        </x:is>
      </x:c>
    </x:row>
    <x:row r="11">
      <x:c r="A11" s="212" t="inlineStr">
        <x:is>
          <x:t xml:space="preserve">Control Base vs BP</x:t>
        </x:is>
      </x:c>
      <x:c r="B11" s="212" t="n">
        <x:f>B7-'06_Cuenta_Resultados'!E6</x:f>
        <x:v>0</x:v>
      </x:c>
      <x:c r="C11" s="212" t="n">
        <x:f>C7-'06_Cuenta_Resultados'!E22</x:f>
        <x:v>0</x:v>
      </x:c>
      <x:c r="D11" s="212" t="str">
        <x:f>IF(SUM(ABS(B11),ABS(C11))&lt;0.001,"OK","FALLO")</x:f>
        <x:v>OK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34" hidden="0" customWidth="1"/>
    <x:col min="4" max="4" width="52" hidden="0" customWidth="1"/>
    <x:col min="5" max="5" width="44" hidden="0" customWidth="1"/>
    <x:col min="6" max="6" width="40" hidden="0" customWidth="1"/>
    <x:col min="7" max="7" width="28" hidden="0" customWidth="1"/>
    <x:col min="8" max="8" width="24" hidden="0" customWidth="1"/>
    <x:col min="9" max="9" width="22" hidden="0" customWidth="1"/>
  </x:cols>
  <x:sheetData>
    <x:row r="1">
      <x:c r="A1" s="220" t="str">
        <x:v>11 Activos plan 26/27</x:v>
      </x:c>
      <x:c r="B1" s="221"/>
      <x:c r="C1" s="221"/>
      <x:c r="D1" s="221"/>
      <x:c r="E1" s="221"/>
      <x:c r="F1" s="221"/>
      <x:c r="G1" s="221"/>
      <x:c r="H1" s="221"/>
      <x:c r="I1" s="222"/>
    </x:row>
    <x:row r="2">
      <x:c r="A2" s="225" t="str">
        <x:v>Proyectos, activos y evidencias del primer tramo operativo 2026/27 conectados con el BP 26/30.</x:v>
      </x:c>
      <x:c r="B2" s="226"/>
      <x:c r="C2" s="226"/>
      <x:c r="D2" s="226"/>
      <x:c r="E2" s="226"/>
      <x:c r="F2" s="226"/>
      <x:c r="G2" s="226"/>
      <x:c r="H2" s="226"/>
      <x:c r="I2" s="227"/>
    </x:row>
    <x:row r="5">
      <x:c r="A5" s="230" t="str">
        <x:v>Activo / proyecto</x:v>
      </x:c>
      <x:c r="B5" s="230" t="str">
        <x:v>Bloque</x:v>
      </x:c>
      <x:c r="C5" s="230" t="str">
        <x:v>Objetivo 26/27</x:v>
      </x:c>
      <x:c r="D5" s="230" t="str">
        <x:v>Entregables principales</x:v>
      </x:c>
      <x:c r="E5" s="230" t="str">
        <x:v>Evidencia / gate</x:v>
      </x:c>
      <x:c r="F5" s="230" t="str">
        <x:v>Impacto BP</x:v>
      </x:c>
      <x:c r="G5" s="230" t="str">
        <x:v>Dependencia</x:v>
      </x:c>
      <x:c r="H5" s="230" t="str">
        <x:v>Responsable tipo</x:v>
      </x:c>
      <x:c r="I5" s="230" t="str">
        <x:v>Estado esperado</x:v>
      </x:c>
    </x:row>
    <x:row r="6">
      <x:c r="A6" s="233" t="str">
        <x:v>Hub Valeriano / OADAC</x:v>
      </x:c>
      <x:c r="B6" s="233" t="str">
        <x:v>Operación y red</x:v>
      </x:c>
      <x:c r="C6" s="233" t="str">
        <x:v>Disponer de un punto demostrador, operativo y comercializable</x:v>
      </x:c>
      <x:c r="D6" s="233" t="str">
        <x:v>Layout, recorrido demo, protocolo de visitas, mapa de evidencias, roles de operación</x:v>
      </x:c>
      <x:c r="E6" s="233" t="str">
        <x:v>Hub visitable y demostrable con narrativa producto-economía</x:v>
      </x:c>
      <x:c r="F6" s="233" t="str">
        <x:v>Reduce riesgo comercial y acelera validación con partners</x:v>
      </x:c>
      <x:c r="G6" s="233" t="str">
        <x:v>Producto base + casos piloto</x:v>
      </x:c>
      <x:c r="H6" s="233" t="str">
        <x:v>Operaciones / Dirección</x:v>
      </x:c>
      <x:c r="I6" s="233" t="str">
        <x:v>Activo operativo</x:v>
      </x:c>
    </x:row>
    <x:row r="7">
      <x:c r="A7" s="233" t="str">
        <x:v>Producto vendible P0-P5</x:v>
      </x:c>
      <x:c r="B7" s="233" t="str">
        <x:v>Producto</x:v>
      </x:c>
      <x:c r="C7" s="233" t="str">
        <x:v>Cerrar paquetes comerciales repetibles</x:v>
      </x:c>
      <x:c r="D7" s="233" t="str">
        <x:v>Fichas de producto, alcance, precios de referencia, gates, evidencias y criterios de entrega</x:v>
      </x:c>
      <x:c r="E7" s="233" t="str">
        <x:v>Paquetes P0-P5 listos para venta y delivery</x:v>
      </x:c>
      <x:c r="F7" s="233" t="str">
        <x:v>Permite convertir capacidad técnica en ingresos por línea</x:v>
      </x:c>
      <x:c r="G7" s="233" t="str">
        <x:v>Arquitectura Asset OS</x:v>
      </x:c>
      <x:c r="H7" s="233" t="str">
        <x:v>Producto / Comercial</x:v>
      </x:c>
      <x:c r="I7" s="233" t="str">
        <x:v>Listo para venta</x:v>
      </x:c>
    </x:row>
    <x:row r="8">
      <x:c r="A8" s="233" t="str">
        <x:v>Modelo Asset OS</x:v>
      </x:c>
      <x:c r="B8" s="233" t="str">
        <x:v>Software y datos</x:v>
      </x:c>
      <x:c r="C8" s="233" t="str">
        <x:v>Consolidar identidad, POI, DPP, stock vivo y data layers</x:v>
      </x:c>
      <x:c r="D8" s="233" t="str">
        <x:v>UID, estructura de datos, evidencias, permisos, trazabilidad y modelo de explotación</x:v>
      </x:c>
      <x:c r="E8" s="233" t="str">
        <x:v>Activo verificable con ciclo de vida operable</x:v>
      </x:c>
      <x:c r="F8" s="233" t="str">
        <x:v>Sostiene recurrencia, margen y defensa técnica</x:v>
      </x:c>
      <x:c r="G8" s="233" t="str">
        <x:v>Designer, Manager, lecturas</x:v>
      </x:c>
      <x:c r="H8" s="233" t="str">
        <x:v>Producto / Tecnología</x:v>
      </x:c>
      <x:c r="I8" s="233" t="str">
        <x:v>Core operativo</x:v>
      </x:c>
    </x:row>
    <x:row r="9">
      <x:c r="A9" s="233" t="str">
        <x:v>Aplicaciones de lectura</x:v>
      </x:c>
      <x:c r="B9" s="233" t="str">
        <x:v>Campo y evidencia</x:v>
      </x:c>
      <x:c r="C9" s="233" t="str">
        <x:v>Validar captura en fábrica, logística, obra y operación</x:v>
      </x:c>
      <x:c r="D9" s="233" t="str">
        <x:v>Lectores fijos/portátiles, flujo de evidencias, incidencias, cierre POI</x:v>
      </x:c>
      <x:c r="E9" s="233" t="str">
        <x:v>Evidencia capturada y asociada a activo</x:v>
      </x:c>
      <x:c r="F9" s="233" t="str">
        <x:v>Refuerza cobro por POI/DPP y trazabilidad</x:v>
      </x:c>
      <x:c r="G9" s="233" t="str">
        <x:v>Hardware + software</x:v>
      </x:c>
      <x:c r="H9" s="233" t="str">
        <x:v>Tecnología / Operaciones</x:v>
      </x:c>
      <x:c r="I9" s="233" t="str">
        <x:v>Prueba de red</x:v>
      </x:c>
    </x:row>
    <x:row r="10">
      <x:c r="A10" s="233" t="str">
        <x:v>CUEVA Designer</x:v>
      </x:c>
      <x:c r="B10" s="233" t="str">
        <x:v>Diseño y generación</x:v>
      </x:c>
      <x:c r="C10" s="233" t="str">
        <x:v>Integrar generación y outputs de proyecto con trazabilidad</x:v>
      </x:c>
      <x:c r="D10" s="233" t="str">
        <x:v>Reglas, API, outputs, generación asistida, conexión con ficha de activo</x:v>
      </x:c>
      <x:c r="E10" s="233" t="str">
        <x:v>Proyecto generado/validado</x:v>
      </x:c>
      <x:c r="F10" s="233" t="str">
        <x:v>Activa ingresos por diseño y emisión de m2</x:v>
      </x:c>
      <x:c r="G10" s="233" t="str">
        <x:v>Motor generativo + datos</x:v>
      </x:c>
      <x:c r="H10" s="233" t="str">
        <x:v>Producto / Tecnología</x:v>
      </x:c>
      <x:c r="I10" s="233" t="str">
        <x:v>Evolución vendible</x:v>
      </x:c>
    </x:row>
    <x:row r="11">
      <x:c r="A11" s="233" t="str">
        <x:v>CUEVA Manager</x:v>
      </x:c>
      <x:c r="B11" s="233" t="str">
        <x:v>Interfaz multiagente</x:v>
      </x:c>
      <x:c r="C11" s="233" t="str">
        <x:v>Ordenar permisos, tareas, estados y documentación del proyecto</x:v>
      </x:c>
      <x:c r="D11" s="233" t="str">
        <x:v>Project room, roles, control de cambios, paneles y coordinación</x:v>
      </x:c>
      <x:c r="E11" s="233" t="str">
        <x:v>Proyecto gestionado en plataforma</x:v>
      </x:c>
      <x:c r="F11" s="233" t="str">
        <x:v>Reduce fricción de implantación y soporta escalado</x:v>
      </x:c>
      <x:c r="G11" s="233" t="str">
        <x:v>Usuarios/partners</x:v>
      </x:c>
      <x:c r="H11" s="233" t="str">
        <x:v>Producto / Operaciones</x:v>
      </x:c>
      <x:c r="I11" s="233" t="str">
        <x:v>Operativo</x:v>
      </x:c>
    </x:row>
    <x:row r="12">
      <x:c r="A12" s="233" t="str">
        <x:v>DPP / Carpeta Madre</x:v>
      </x:c>
      <x:c r="B12" s="233" t="str">
        <x:v>Documento vivo</x:v>
      </x:c>
      <x:c r="C12" s="233" t="str">
        <x:v>Cerrar el dossier verificable de activo</x:v>
      </x:c>
      <x:c r="D12" s="233" t="str">
        <x:v>Documentos, garantías, composición, cambios, evidencias y responsables</x:v>
      </x:c>
      <x:c r="E12" s="233" t="str">
        <x:v>DPP emitido por activo</x:v>
      </x:c>
      <x:c r="F12" s="233" t="str">
        <x:v>Base de monetización documental y compliance</x:v>
      </x:c>
      <x:c r="G12" s="233" t="str">
        <x:v>POI + identidad</x:v>
      </x:c>
      <x:c r="H12" s="233" t="str">
        <x:v>Producto / Legal técnico</x:v>
      </x:c>
      <x:c r="I12" s="233" t="str">
        <x:v>Gate documental</x:v>
      </x:c>
    </x:row>
    <x:row r="13">
      <x:c r="A13" s="233" t="str">
        <x:v>Pipeline 2027</x:v>
      </x:c>
      <x:c r="B13" s="233" t="str">
        <x:v>Mercado</x:v>
      </x:c>
      <x:c r="C13" s="233" t="str">
        <x:v>Priorizar casos de venta, partners y pilotos medibles</x:v>
      </x:c>
      <x:c r="D13" s="233" t="str">
        <x:v>Listado de oportunidades, estado, probabilidad, gate y próximo paso</x:v>
      </x:c>
      <x:c r="E13" s="233" t="str">
        <x:v>Pipeline con criterios homogéneos</x:v>
      </x:c>
      <x:c r="F13" s="233" t="str">
        <x:v>Aumenta visibilidad de ingresos 2027</x:v>
      </x:c>
      <x:c r="G13" s="233" t="str">
        <x:v>Oferta comercial</x:v>
      </x:c>
      <x:c r="H13" s="233" t="str">
        <x:v>Comercial / Dirección</x:v>
      </x:c>
      <x:c r="I13" s="233" t="str">
        <x:v>En seguimiento</x:v>
      </x:c>
    </x:row>
    <x:row r="14">
      <x:c r="A14" s="233" t="str">
        <x:v>Partner enablement</x:v>
      </x:c>
      <x:c r="B14" s="233" t="str">
        <x:v>Red</x:v>
      </x:c>
      <x:c r="C14" s="233" t="str">
        <x:v>Activar primeras relaciones replicables</x:v>
      </x:c>
      <x:c r="D14" s="233" t="str">
        <x:v>Onboarding, formación, soporte, QA, protocolos y materiales</x:v>
      </x:c>
      <x:c r="E14" s="233" t="str">
        <x:v>Partner habilitado y medible</x:v>
      </x:c>
      <x:c r="F14" s="233" t="str">
        <x:v>Incrementa capacidad de entrega y penetración</x:v>
      </x:c>
      <x:c r="G14" s="233" t="str">
        <x:v>Hub + paquetes</x:v>
      </x:c>
      <x:c r="H14" s="233" t="str">
        <x:v>Operaciones / Comercial</x:v>
      </x:c>
      <x:c r="I14" s="233" t="str">
        <x:v>Primeros partners</x:v>
      </x:c>
    </x:row>
    <x:row r="15">
      <x:c r="A15" s="233" t="str">
        <x:v>Gobierno de datos</x:v>
      </x:c>
      <x:c r="B15" s="233" t="str">
        <x:v>Seguridad y control</x:v>
      </x:c>
      <x:c r="C15" s="233" t="str">
        <x:v>Asegurar permisos, trazabilidad y calidad de dato</x:v>
      </x:c>
      <x:c r="D15" s="233" t="str">
        <x:v>Modelo de permisos, trazas, roles, diccionario y reporting</x:v>
      </x:c>
      <x:c r="E15" s="233" t="str">
        <x:v>Datos explotables con control</x:v>
      </x:c>
      <x:c r="F15" s="233" t="str">
        <x:v>Defiende calidad de ingresos recurrentes</x:v>
      </x:c>
      <x:c r="G15" s="233" t="str">
        <x:v>Asset OS + Manager</x:v>
      </x:c>
      <x:c r="H15" s="233" t="str">
        <x:v>Tecnología / Dirección</x:v>
      </x:c>
      <x:c r="I15" s="233" t="str">
        <x:v>Base de escalado</x:v>
      </x:c>
    </x:row>
    <x:row r="16">
      <x:c r="A16" s="233" t="str">
        <x:v>Material comercial</x:v>
      </x:c>
      <x:c r="B16" s="233" t="str">
        <x:v>Go-to-market</x:v>
      </x:c>
      <x:c r="C16" s="233" t="str">
        <x:v>Unificar narrativa, demos, propuesta y evidencias</x:v>
      </x:c>
      <x:c r="D16" s="233" t="str">
        <x:v>Decks, fichas, carta de servicios, casos, FAQs y argumentario</x:v>
      </x:c>
      <x:c r="E16" s="233" t="str">
        <x:v>Carpeta comercial consistente</x:v>
      </x:c>
      <x:c r="F16" s="233" t="str">
        <x:v>Reduce ciclo de venta y mejora conversión</x:v>
      </x:c>
      <x:c r="G16" s="233" t="str">
        <x:v>Producto y hub</x:v>
      </x:c>
      <x:c r="H16" s="233" t="str">
        <x:v>Comercial / Marketing</x:v>
      </x:c>
      <x:c r="I16" s="233" t="str">
        <x:v>Listo para terceros</x:v>
      </x:c>
    </x:row>
    <x:row r="17">
      <x:c r="A17" s="233" t="str">
        <x:v>Control financiero</x:v>
      </x:c>
      <x:c r="B17" s="233" t="str">
        <x:v>BP y reporting</x:v>
      </x:c>
      <x:c r="C17" s="233" t="str">
        <x:v>Mantener modelo operativo auditable</x:v>
      </x:c>
      <x:c r="D17" s="233" t="str">
        <x:v>BP, controles, sensibilidad, cash, costes, responsable y actualización</x:v>
      </x:c>
      <x:c r="E17" s="233" t="str">
        <x:v>Modelo validable y trazable</x:v>
      </x:c>
      <x:c r="F17" s="233" t="str">
        <x:v>Permite seguimiento y conversación inversora</x:v>
      </x:c>
      <x:c r="G17" s="233" t="str">
        <x:v>Excel BP 26/30</x:v>
      </x:c>
      <x:c r="H17" s="233" t="str">
        <x:v>Finanzas / Dirección</x:v>
      </x:c>
      <x:c r="I17" s="233" t="str">
        <x:v>Control activo</x:v>
      </x:c>
    </x:row>
    <x:row r="18">
      <x:c r="A18" s="233" t="str">
        <x:v>Gestión de riesgos</x:v>
      </x:c>
      <x:c r="B18" s="233" t="str">
        <x:v>Ejecución</x:v>
      </x:c>
      <x:c r="C18" s="233" t="str">
        <x:v>Ordenar gates de decisión y dependencias</x:v>
      </x:c>
      <x:c r="D18" s="233" t="str">
        <x:v>Mapa de riesgos, mitigaciones, owners, fechas y evidencia exigida</x:v>
      </x:c>
      <x:c r="E18" s="233" t="str">
        <x:v>Riesgos con owner y gate</x:v>
      </x:c>
      <x:c r="F18" s="233" t="str">
        <x:v>Condiciona inversión, expansión y disciplina operativa</x:v>
      </x:c>
      <x:c r="G18" s="233" t="str">
        <x:v>Todos los bloques</x:v>
      </x:c>
      <x:c r="H18" s="233" t="str">
        <x:v>Dirección</x:v>
      </x:c>
      <x:c r="I18" s="233" t="str">
        <x:v>Gobierno de ejecución</x:v>
      </x:c>
    </x:row>
  </x:sheetData>
  <x:pageMargins left="0.7" right="0.7" top="0.75" bottom="0.75" header="0.3" footer="0.3"/>
</x:worksheet>
</file>