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01_Control_Audit" sheetId="2" state="visible" r:id="rId2"/>
    <sheet xmlns:r="http://schemas.openxmlformats.org/officeDocument/2006/relationships" name="02_Supuestos" sheetId="3" state="visible" r:id="rId3"/>
    <sheet xmlns:r="http://schemas.openxmlformats.org/officeDocument/2006/relationships" name="03_Uso_Fondos_300K" sheetId="4" state="visible" r:id="rId4"/>
    <sheet xmlns:r="http://schemas.openxmlformats.org/officeDocument/2006/relationships" name="04_Deuda_Saneamiento" sheetId="5" state="visible" r:id="rId5"/>
    <sheet xmlns:r="http://schemas.openxmlformats.org/officeDocument/2006/relationships" name="05_Personal" sheetId="6" state="visible" r:id="rId6"/>
    <sheet xmlns:r="http://schemas.openxmlformats.org/officeDocument/2006/relationships" name="06_Seguridad_Social" sheetId="7" state="visible" r:id="rId7"/>
    <sheet xmlns:r="http://schemas.openxmlformats.org/officeDocument/2006/relationships" name="07_Equipos_Workstreams" sheetId="8" state="visible" r:id="rId8"/>
    <sheet xmlns:r="http://schemas.openxmlformats.org/officeDocument/2006/relationships" name="08_Infra_SW_HW_Telecom" sheetId="9" state="visible" r:id="rId9"/>
    <sheet xmlns:r="http://schemas.openxmlformats.org/officeDocument/2006/relationships" name="09_Licencias_IA_SaaS" sheetId="10" state="visible" r:id="rId10"/>
    <sheet xmlns:r="http://schemas.openxmlformats.org/officeDocument/2006/relationships" name="10_Proyectos_Objetivos" sheetId="11" state="visible" r:id="rId11"/>
    <sheet xmlns:r="http://schemas.openxmlformats.org/officeDocument/2006/relationships" name="11_Ingresos_2026_2027" sheetId="12" state="visible" r:id="rId12"/>
    <sheet xmlns:r="http://schemas.openxmlformats.org/officeDocument/2006/relationships" name="12_Cuenta_Resultados" sheetId="13" state="visible" r:id="rId13"/>
    <sheet xmlns:r="http://schemas.openxmlformats.org/officeDocument/2006/relationships" name="13_Caja_Mensual" sheetId="14" state="visible" r:id="rId14"/>
    <sheet xmlns:r="http://schemas.openxmlformats.org/officeDocument/2006/relationships" name="14_Modelo_Hub_OADAC" sheetId="15" state="visible" r:id="rId15"/>
    <sheet xmlns:r="http://schemas.openxmlformats.org/officeDocument/2006/relationships" name="15_Mapa_Relaciones" sheetId="16" state="visible" r:id="rId16"/>
    <sheet xmlns:r="http://schemas.openxmlformats.org/officeDocument/2006/relationships" name="16_Mapa_Estrategico" sheetId="17" state="visible" r:id="rId17"/>
    <sheet xmlns:r="http://schemas.openxmlformats.org/officeDocument/2006/relationships" name="17_Valor_Activos" sheetId="18" state="visible" r:id="rId18"/>
    <sheet xmlns:r="http://schemas.openxmlformats.org/officeDocument/2006/relationships" name="18_Valor_Empresa_2027" sheetId="19" state="visible" r:id="rId19"/>
    <sheet xmlns:r="http://schemas.openxmlformats.org/officeDocument/2006/relationships" name="19_Roadmap_Visual" sheetId="20" state="visible" r:id="rId20"/>
    <sheet xmlns:r="http://schemas.openxmlformats.org/officeDocument/2006/relationships" name="20_Riesgos_Gates" sheetId="21" state="visible" r:id="rId21"/>
    <sheet xmlns:r="http://schemas.openxmlformats.org/officeDocument/2006/relationships" name="21_Dashboard" sheetId="22" state="visible" r:id="rId2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;[Red](0.0%);-"/>
    <numFmt numFmtId="166" formatCode="#,##0;[Red](#,##0);-"/>
  </numFmts>
  <fonts count="1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B5563"/>
      <sz val="10"/>
    </font>
    <font>
      <b val="1"/>
      <color rgb="000B1F3A"/>
      <sz val="16"/>
    </font>
    <font>
      <b val="1"/>
      <color rgb="00FFFFFF"/>
      <sz val="10"/>
    </font>
    <font>
      <b val="1"/>
      <color rgb="00185ADB"/>
      <sz val="18"/>
    </font>
    <font>
      <i val="1"/>
      <color rgb="004B5563"/>
      <sz val="9"/>
    </font>
    <font>
      <b val="1"/>
      <color rgb="000B1F3A"/>
      <sz val="12"/>
    </font>
    <font>
      <b val="1"/>
      <color rgb="00185ADB"/>
    </font>
    <font>
      <name val="Aptos"/>
      <b val="1"/>
      <color rgb="00FFFFFF"/>
      <sz val="10"/>
    </font>
    <font>
      <b val="1"/>
      <color rgb="000B1F3A"/>
    </font>
    <font>
      <b val="1"/>
      <color rgb="000B1F3A"/>
      <sz val="13"/>
    </font>
    <font>
      <name val="Aptos"/>
      <color rgb="00111827"/>
      <sz val="10"/>
    </font>
    <font>
      <name val="Aptos"/>
      <color rgb="00185ADB"/>
      <sz val="10"/>
    </font>
    <font>
      <name val="Aptos"/>
      <color rgb="00128A4B"/>
      <sz val="10"/>
    </font>
  </fonts>
  <fills count="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3F6FA"/>
      </patternFill>
    </fill>
    <fill>
      <patternFill patternType="solid">
        <fgColor rgb="00111827"/>
      </patternFill>
    </fill>
    <fill>
      <patternFill patternType="solid">
        <fgColor rgb="00F8FAFC"/>
      </patternFill>
    </fill>
    <fill>
      <patternFill patternType="solid">
        <fgColor rgb="00D9EAF7"/>
      </patternFill>
    </fill>
    <fill>
      <patternFill patternType="solid">
        <fgColor rgb="00DFF7ED"/>
      </patternFill>
    </fill>
  </fills>
  <borders count="11">
    <border>
      <left/>
      <right/>
      <top/>
      <bottom/>
      <diagonal/>
    </border>
    <border>
      <left style="thin">
        <color rgb="00D5DAE3"/>
      </left>
      <right style="thin">
        <color rgb="00D5DAE3"/>
      </right>
      <top style="thin">
        <color rgb="00D5DAE3"/>
      </top>
      <bottom style="thin">
        <color rgb="00D5DAE3"/>
      </bottom>
    </border>
    <border>
      <left/>
      <right/>
      <top style="thin">
        <color rgb="00D5DAE3"/>
      </top>
      <bottom/>
      <diagonal/>
    </border>
    <border>
      <left/>
      <right style="thin">
        <color rgb="00D5DAE3"/>
      </right>
      <top style="thin">
        <color rgb="00D5DAE3"/>
      </top>
      <bottom/>
      <diagonal/>
    </border>
    <border>
      <left/>
      <right/>
      <top style="thin">
        <color rgb="00D5DAE3"/>
      </top>
      <bottom style="thin">
        <color rgb="00D5DAE3"/>
      </bottom>
      <diagonal/>
    </border>
    <border>
      <left/>
      <right style="thin">
        <color rgb="00D5DAE3"/>
      </right>
      <top style="thin">
        <color rgb="00D5DAE3"/>
      </top>
      <bottom style="thin">
        <color rgb="00D5DAE3"/>
      </bottom>
      <diagonal/>
    </border>
    <border>
      <left style="thin">
        <color rgb="00D5DAE3"/>
      </left>
      <right/>
      <top/>
      <bottom/>
      <diagonal/>
    </border>
    <border>
      <left/>
      <right style="thin">
        <color rgb="00D5DAE3"/>
      </right>
      <top/>
      <bottom/>
      <diagonal/>
    </border>
    <border>
      <left style="thin">
        <color rgb="00D5DAE3"/>
      </left>
      <right/>
      <top/>
      <bottom style="thin">
        <color rgb="00D5DAE3"/>
      </bottom>
      <diagonal/>
    </border>
    <border>
      <left/>
      <right/>
      <top/>
      <bottom style="thin">
        <color rgb="00D5DAE3"/>
      </bottom>
      <diagonal/>
    </border>
    <border>
      <left/>
      <right style="thin">
        <color rgb="00D5DAE3"/>
      </right>
      <top/>
      <bottom style="thin">
        <color rgb="00D5DAE3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2" borderId="1" applyAlignment="1" pivotButton="0" quotePrefix="0" xfId="0">
      <alignment vertical="top" wrapText="1"/>
    </xf>
    <xf numFmtId="0" fontId="0" fillId="0" borderId="1" pivotButton="0" quotePrefix="0" xfId="0"/>
    <xf numFmtId="164" fontId="13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13" fillId="5" borderId="1" applyAlignment="1" pivotButton="0" quotePrefix="0" xfId="0">
      <alignment vertical="top" wrapText="1"/>
    </xf>
    <xf numFmtId="165" fontId="12" fillId="0" borderId="1" applyAlignment="1" pivotButton="0" quotePrefix="0" xfId="0">
      <alignment vertical="top" wrapText="1"/>
    </xf>
    <xf numFmtId="165" fontId="12" fillId="5" borderId="1" applyAlignment="1" pivotButton="0" quotePrefix="0" xfId="0">
      <alignment vertical="top" wrapText="1"/>
    </xf>
    <xf numFmtId="0" fontId="12" fillId="6" borderId="1" applyAlignment="1" pivotButton="0" quotePrefix="0" xfId="0">
      <alignment vertical="top" wrapText="1"/>
    </xf>
    <xf numFmtId="164" fontId="12" fillId="6" borderId="1" applyAlignment="1" pivotButton="0" quotePrefix="0" xfId="0">
      <alignment vertical="top" wrapText="1"/>
    </xf>
    <xf numFmtId="164" fontId="13" fillId="6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164" fontId="12" fillId="7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164" fontId="12" fillId="0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164" fontId="12" fillId="5" borderId="1" applyAlignment="1" pivotButton="0" quotePrefix="0" xfId="0">
      <alignment vertical="top" wrapText="1"/>
    </xf>
    <xf numFmtId="164" fontId="14" fillId="0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13" fillId="0" borderId="1" applyAlignment="1" pivotButton="0" quotePrefix="0" xfId="0">
      <alignment vertical="top" wrapText="1"/>
    </xf>
    <xf numFmtId="166" fontId="13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dxfs count="1">
    <dxf>
      <font>
        <color rgb="00B0002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Uso de fondos 300k</a:t>
            </a:r>
          </a:p>
        </rich>
      </tx>
    </title>
    <plotArea>
      <pieChart>
        <varyColors val="1"/>
        <ser>
          <idx val="0"/>
          <order val="0"/>
          <tx>
            <strRef>
              <f>'03_Uso_Fondos_300K'!B4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'03_Uso_Fondos_300K'!$A$5:$A$11</f>
            </numRef>
          </cat>
          <val>
            <numRef>
              <f>'03_Uso_Fondos_300K'!$B$5:$B$11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mensuales 2026-2027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'11_Ingresos_2026_2027'!$D$4:$U$4</f>
            </numRef>
          </cat>
          <val>
            <numRef>
              <f>'11_Ingresos_2026_2027'!$D$14:$U$14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vs EBITDA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'12_Cuenta_Resultados'!$B$4:$S$4</f>
            </numRef>
          </cat>
          <val>
            <numRef>
              <f>'12_Cuenta_Resultados'!$B$5:$S$5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'12_Cuenta_Resultados'!$B$4:$S$4</f>
            </numRef>
          </cat>
          <val>
            <numRef>
              <f>'12_Cuenta_Resultados'!$B$14:$S$14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Caja final mensual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'13_Caja_Mensual'!$B$4:$S$4</f>
            </numRef>
          </cat>
          <val>
            <numRef>
              <f>'13_Caja_Mensual'!$B$10:$S$10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Bridge valor empresa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'18_Valor_Empresa_2027'!$A$5:$A$11</f>
            </numRef>
          </cat>
          <val>
            <numRef>
              <f>'18_Valor_Empresa_2027'!$B$5:$B$11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Componente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Uso de fondos 300k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'03_Uso_Fondos_300K'!B4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'03_Uso_Fondos_300K'!$A$5:$A$11</f>
            </numRef>
          </cat>
          <val>
            <numRef>
              <f>'03_Uso_Fondos_300K'!$B$5:$B$11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Caja final mensual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'13_Caja_Mensual'!$B$4:$S$4</f>
            </numRef>
          </cat>
          <val>
            <numRef>
              <f>'13_Caja_Mensual'!$B$10:$S$10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CUEVA BP</author>
  </authors>
  <commentList>
    <comment ref="D5" authorId="0" shapeId="0">
      <text>
        <t>Fuente: dato aportado por dirección CUEVA/OADAC en sesión de trabajo BP 300k, julio 2026, salvo naturaleza indicada como hipótesis objetivo.</t>
      </text>
    </comment>
    <comment ref="D6" authorId="0" shapeId="0">
      <text>
        <t>Fuente: dato aportado por dirección CUEVA/OADAC en sesión de trabajo BP 300k, julio 2026, salvo naturaleza indicada como hipótesis objetivo.</t>
      </text>
    </comment>
    <comment ref="D7" authorId="0" shapeId="0">
      <text>
        <t>Fuente: dato aportado por dirección CUEVA/OADAC en sesión de trabajo BP 300k, julio 2026, salvo naturaleza indicada como hipótesis objetivo.</t>
      </text>
    </comment>
    <comment ref="D8" authorId="0" shapeId="0">
      <text>
        <t>Fuente: dato aportado por dirección CUEVA/OADAC en sesión de trabajo BP 300k, julio 2026, salvo naturaleza indicada como hipótesis objetivo.</t>
      </text>
    </comment>
    <comment ref="D9" authorId="0" shapeId="0">
      <text>
        <t>Fuente: dato aportado por dirección CUEVA/OADAC en sesión de trabajo BP 300k, julio 2026, salvo naturaleza indicada como hipótesis objetivo.</t>
      </text>
    </comment>
    <comment ref="D10" authorId="0" shapeId="0">
      <text>
        <t>Fuente: dato aportado por dirección CUEVA/OADAC en sesión de trabajo BP 300k, julio 2026, salvo naturaleza indicada como hipótesis objetivo.</t>
      </text>
    </comment>
    <comment ref="D11" authorId="0" shapeId="0">
      <text>
        <t>Fuente: dato aportado por dirección CUEVA/OADAC en sesión de trabajo BP 300k, julio 2026, salvo naturaleza indicada como hipótesis objetivo.</t>
      </text>
    </comment>
    <comment ref="D12" authorId="0" shapeId="0">
      <text>
        <t>Fuente: dato aportado por dirección CUEVA/OADAC en sesión de trabajo BP 300k, julio 2026, salvo naturaleza indicada como hipótesis objetivo.</t>
      </text>
    </comment>
    <comment ref="D13" authorId="0" shapeId="0">
      <text>
        <t>Fuente: dato aportado por dirección CUEVA/OADAC en sesión de trabajo BP 300k, julio 2026, salvo naturaleza indicada como hipótesis objetivo.</t>
      </text>
    </comment>
    <comment ref="D14" authorId="0" shapeId="0">
      <text>
        <t>Fuente: dato aportado por dirección CUEVA/OADAC en sesión de trabajo BP 300k, julio 2026, salvo naturaleza indicada como hipótesis objetivo.</t>
      </text>
    </comment>
    <comment ref="D15" authorId="0" shapeId="0">
      <text>
        <t>Fuente: dato aportado por dirección CUEVA/OADAC en sesión de trabajo BP 300k, julio 2026, salvo naturaleza indicada como hipótesis objetivo.</t>
      </text>
    </comment>
    <comment ref="D16" authorId="0" shapeId="0">
      <text>
        <t>Fuente: dato aportado por dirección CUEVA/OADAC en sesión de trabajo BP 300k, julio 2026, salvo naturaleza indicada como hipótesis objetivo.</t>
      </text>
    </comment>
  </commentList>
</comments>
</file>

<file path=xl/comments/comment2.xml><?xml version="1.0" encoding="utf-8"?>
<comments xmlns="http://schemas.openxmlformats.org/spreadsheetml/2006/main">
  <authors>
    <author>CUEVA BP</author>
  </authors>
  <commentList>
    <comment ref="B5" authorId="0" shapeId="0">
      <text>
        <t>Fuente: presupuesto interno CUEVA/OADAC. Validar con facturas/proformas antes de desembolso.</t>
      </text>
    </comment>
    <comment ref="B6" authorId="0" shapeId="0">
      <text>
        <t>Fuente: presupuesto interno CUEVA/OADAC. Validar con facturas/proformas antes de desembolso.</t>
      </text>
    </comment>
    <comment ref="B7" authorId="0" shapeId="0">
      <text>
        <t>Fuente: presupuesto interno CUEVA/OADAC. Validar con facturas/proformas antes de desembolso.</t>
      </text>
    </comment>
    <comment ref="B8" authorId="0" shapeId="0">
      <text>
        <t>Fuente: presupuesto interno CUEVA/OADAC. Validar con facturas/proformas antes de desembolso.</t>
      </text>
    </comment>
    <comment ref="B9" authorId="0" shapeId="0">
      <text>
        <t>Fuente: presupuesto interno CUEVA/OADAC. Validar con facturas/proformas antes de desembolso.</t>
      </text>
    </comment>
    <comment ref="B10" authorId="0" shapeId="0">
      <text>
        <t>Fuente: presupuesto interno CUEVA/OADAC. Validar con facturas/proformas antes de desembolso.</t>
      </text>
    </comment>
    <comment ref="B11" authorId="0" shapeId="0">
      <text>
        <t>Fuente: presupuesto interno CUEVA/OADAC. Validar con facturas/proformas antes de desembolso.</t>
      </text>
    </comment>
  </commentList>
</comments>
</file>

<file path=xl/comments/comment3.xml><?xml version="1.0" encoding="utf-8"?>
<comments xmlns="http://schemas.openxmlformats.org/spreadsheetml/2006/main">
  <authors>
    <author>CUEVA BP</author>
  </authors>
  <commentList>
    <comment ref="E5" authorId="0" shapeId="0">
      <text>
        <t>Fuente: presupuesto interno estimado. Sustituir por proforma/factura antes de compra.</t>
      </text>
    </comment>
    <comment ref="E6" authorId="0" shapeId="0">
      <text>
        <t>Fuente: presupuesto interno estimado. Sustituir por proforma/factura antes de compra.</t>
      </text>
    </comment>
    <comment ref="E7" authorId="0" shapeId="0">
      <text>
        <t>Fuente: presupuesto interno estimado. Sustituir por proforma/factura antes de compra.</t>
      </text>
    </comment>
    <comment ref="E8" authorId="0" shapeId="0">
      <text>
        <t>Fuente: presupuesto interno estimado. Sustituir por proforma/factura antes de compra.</t>
      </text>
    </comment>
    <comment ref="E9" authorId="0" shapeId="0">
      <text>
        <t>Fuente: presupuesto interno estimado. Sustituir por proforma/factura antes de compra.</t>
      </text>
    </comment>
    <comment ref="E10" authorId="0" shapeId="0">
      <text>
        <t>Fuente: presupuesto interno estimado. Sustituir por proforma/factura antes de compra.</t>
      </text>
    </comment>
    <comment ref="E11" authorId="0" shapeId="0">
      <text>
        <t>Fuente: presupuesto interno estimado. Sustituir por proforma/factura antes de compra.</t>
      </text>
    </comment>
    <comment ref="E12" authorId="0" shapeId="0">
      <text>
        <t>Fuente: presupuesto interno estimado. Sustituir por proforma/factura antes de compra.</t>
      </text>
    </comment>
    <comment ref="E13" authorId="0" shapeId="0">
      <text>
        <t>Fuente: presupuesto interno estimado. Sustituir por proforma/factura antes de compra.</t>
      </text>
    </comment>
    <comment ref="E14" authorId="0" shapeId="0">
      <text>
        <t>Fuente: presupuesto interno estimado. Sustituir por proforma/factura antes de compra.</t>
      </text>
    </comment>
    <comment ref="E15" authorId="0" shapeId="0">
      <text>
        <t>Fuente: presupuesto interno estimado. Sustituir por proforma/factura antes de compra.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19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CUEVA / OADAC - Business Plan Mínimos 300k</t>
        </is>
      </c>
    </row>
    <row r="2" ht="22" customHeight="1">
      <c r="A2" s="2" t="inlineStr">
        <is>
          <t>Plan audit-ready | Horizonte: julio 2026 - diciembre 2027 | Sin escenarios alternativos</t>
        </is>
      </c>
    </row>
    <row r="4">
      <c r="A4" s="3" t="inlineStr">
        <is>
          <t>Tesis de ejecución</t>
        </is>
      </c>
    </row>
    <row r="5">
      <c r="A5" s="4" t="inlineStr">
        <is>
          <t>La inversión mínima de 300.000 € se orienta a convertir CUEVA/OADAC en una plataforma industrial y digital sostenible: saneamiento crítico, equipo base, salida comercial, hub operativo, producto software/telecom reforzado y pipeline 2027 con ingresos objetivo auditables.</t>
        </is>
      </c>
    </row>
    <row r="6"/>
    <row r="7"/>
    <row r="9">
      <c r="A9" s="5" t="inlineStr">
        <is>
          <t>Capital mínimo necesario</t>
        </is>
      </c>
      <c r="B9" s="32" t="n"/>
      <c r="C9" s="33" t="n"/>
      <c r="D9" s="5" t="inlineStr">
        <is>
          <t>Facturación objetivo 2027</t>
        </is>
      </c>
      <c r="E9" s="32" t="n"/>
      <c r="F9" s="33" t="n"/>
      <c r="G9" s="5" t="inlineStr">
        <is>
          <t>Valor empresa actual</t>
        </is>
      </c>
      <c r="H9" s="32" t="n"/>
      <c r="I9" s="33" t="n"/>
      <c r="J9" s="5" t="inlineStr">
        <is>
          <t>Valor objetivo fin 2027</t>
        </is>
      </c>
      <c r="K9" s="32" t="n"/>
      <c r="L9" s="33" t="n"/>
    </row>
    <row r="10">
      <c r="A10" s="7" t="n">
        <v>300000</v>
      </c>
      <c r="B10" s="32" t="n"/>
      <c r="C10" s="33" t="n"/>
      <c r="D10" s="7" t="n">
        <v>2155000</v>
      </c>
      <c r="E10" s="32" t="n"/>
      <c r="F10" s="33" t="n"/>
      <c r="G10" s="7" t="n">
        <v>4000000</v>
      </c>
      <c r="H10" s="32" t="n"/>
      <c r="I10" s="33" t="n"/>
      <c r="J10" s="7" t="n">
        <v>9500000</v>
      </c>
      <c r="K10" s="32" t="n"/>
      <c r="L10" s="33" t="n"/>
    </row>
    <row r="11">
      <c r="A11" s="8" t="inlineStr">
        <is>
          <t>Único escenario del BP</t>
        </is>
      </c>
      <c r="B11" s="32" t="n"/>
      <c r="C11" s="33" t="n"/>
      <c r="D11" s="8" t="inlineStr">
        <is>
          <t>Incluye Llar de Mar 2 y KIWA/RMOOB</t>
        </is>
      </c>
      <c r="E11" s="32" t="n"/>
      <c r="F11" s="33" t="n"/>
      <c r="G11" s="8" t="inlineStr">
        <is>
          <t>Base: inversión histórica acumulada</t>
        </is>
      </c>
      <c r="H11" s="32" t="n"/>
      <c r="I11" s="33" t="n"/>
      <c r="J11" s="8" t="inlineStr">
        <is>
          <t>Rango razonado: 8,0M - 12,0M</t>
        </is>
      </c>
      <c r="K11" s="32" t="n"/>
      <c r="L11" s="33" t="n"/>
    </row>
    <row r="14">
      <c r="A14" s="9" t="inlineStr">
        <is>
          <t>Documentos de control</t>
        </is>
      </c>
    </row>
    <row r="15">
      <c r="A15" s="9" t="inlineStr">
        <is>
          <t>01_Control_Audit</t>
        </is>
      </c>
      <c r="B15" s="4" t="inlineStr">
        <is>
          <t>Trazabilidad de versión, alcance y uso previsto.</t>
        </is>
      </c>
    </row>
    <row r="16">
      <c r="A16" s="9" t="inlineStr">
        <is>
          <t>02_Supuestos</t>
        </is>
      </c>
      <c r="B16" s="4" t="inlineStr">
        <is>
          <t>Separación dato conocido / supuesto operativo / hipótesis objetivo.</t>
        </is>
      </c>
    </row>
    <row r="17">
      <c r="A17" s="9" t="inlineStr">
        <is>
          <t>11_Ingresos_2026_2027</t>
        </is>
      </c>
      <c r="B17" s="4" t="inlineStr">
        <is>
          <t>Calendario mensual de cobros 2026-2027 y pipeline objetivo.</t>
        </is>
      </c>
    </row>
    <row r="18">
      <c r="A18" s="9" t="inlineStr">
        <is>
          <t>12_Cuenta_Resultados</t>
        </is>
      </c>
      <c r="B18" s="4" t="inlineStr">
        <is>
          <t>P&amp;L mensual y anual con márgenes y EBITDA.</t>
        </is>
      </c>
    </row>
    <row r="19">
      <c r="A19" s="9" t="inlineStr">
        <is>
          <t>18_Valor_Empresa_2027</t>
        </is>
      </c>
      <c r="B19" s="4" t="inlineStr">
        <is>
          <t>Bridge de valor desde 4M€ actuales hasta cierre 2027.</t>
        </is>
      </c>
    </row>
  </sheetData>
  <mergeCells count="20">
    <mergeCell ref="D11:F11"/>
    <mergeCell ref="G10:I10"/>
    <mergeCell ref="B16:L16"/>
    <mergeCell ref="B18:L18"/>
    <mergeCell ref="J11:L11"/>
    <mergeCell ref="A2:L2"/>
    <mergeCell ref="D9:F9"/>
    <mergeCell ref="B17:L17"/>
    <mergeCell ref="A10:C10"/>
    <mergeCell ref="A5:L7"/>
    <mergeCell ref="B19:L19"/>
    <mergeCell ref="A9:C9"/>
    <mergeCell ref="G9:I9"/>
    <mergeCell ref="G11:I11"/>
    <mergeCell ref="D10:F10"/>
    <mergeCell ref="A11:C11"/>
    <mergeCell ref="J10:L10"/>
    <mergeCell ref="B15:L15"/>
    <mergeCell ref="A1:L1"/>
    <mergeCell ref="J9:L9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22" customWidth="1" min="4" max="4"/>
    <col width="34" customWidth="1" min="5" max="5"/>
    <col width="16" customWidth="1" min="6" max="6"/>
    <col width="30" customWidth="1" min="7" max="7"/>
    <col width="32" customWidth="1" min="8" max="8"/>
  </cols>
  <sheetData>
    <row r="1" ht="30" customHeight="1">
      <c r="A1" s="1" t="inlineStr">
        <is>
          <t>Control audit-ready</t>
        </is>
      </c>
    </row>
    <row r="2" ht="22" customHeight="1">
      <c r="A2" s="2" t="inlineStr">
        <is>
          <t>Alcance, fuentes y limites del modelo</t>
        </is>
      </c>
    </row>
    <row r="4" ht="24" customHeight="1">
      <c r="A4" s="10" t="inlineStr">
        <is>
          <t>Campo</t>
        </is>
      </c>
      <c r="B4" s="10" t="inlineStr">
        <is>
          <t>Contenido</t>
        </is>
      </c>
      <c r="C4" s="10" t="inlineStr">
        <is>
          <t>Tipo</t>
        </is>
      </c>
      <c r="D4" s="10" t="inlineStr">
        <is>
          <t>Responsable</t>
        </is>
      </c>
      <c r="E4" s="10" t="inlineStr">
        <is>
          <t>Evidencia requerida</t>
        </is>
      </c>
      <c r="F4" s="10" t="inlineStr">
        <is>
          <t>Estado</t>
        </is>
      </c>
      <c r="G4" s="10" t="inlineStr">
        <is>
          <t>Riesgo si no existe</t>
        </is>
      </c>
      <c r="H4" s="10" t="inlineStr">
        <is>
          <t>Acción</t>
        </is>
      </c>
    </row>
    <row r="5">
      <c r="A5" s="11" t="inlineStr">
        <is>
          <t>Versión</t>
        </is>
      </c>
      <c r="B5" s="11" t="inlineStr">
        <is>
          <t>BP 300k audit-ready 2026-2027</t>
        </is>
      </c>
      <c r="C5" s="11" t="inlineStr">
        <is>
          <t>Control documental</t>
        </is>
      </c>
      <c r="D5" s="11" t="inlineStr">
        <is>
          <t>Luis / Dirección</t>
        </is>
      </c>
      <c r="E5" s="11" t="inlineStr">
        <is>
          <t>DOCX + XLSX fechados</t>
        </is>
      </c>
      <c r="F5" s="11" t="inlineStr">
        <is>
          <t>Activo</t>
        </is>
      </c>
      <c r="G5" s="11" t="inlineStr">
        <is>
          <t>Control documental confuso</t>
        </is>
      </c>
      <c r="H5" s="11" t="inlineStr">
        <is>
          <t>Bloquear cambios sin aprobacion</t>
        </is>
      </c>
    </row>
    <row r="6">
      <c r="A6" s="12" t="inlineStr">
        <is>
          <t>Alcance</t>
        </is>
      </c>
      <c r="B6" s="12" t="inlineStr">
        <is>
          <t>Plan único de mínimos con inversión 300k; sin escenarios 30k/50k</t>
        </is>
      </c>
      <c r="C6" s="12" t="inlineStr">
        <is>
          <t>Gobierno</t>
        </is>
      </c>
      <c r="D6" s="12" t="inlineStr">
        <is>
          <t>Dirección</t>
        </is>
      </c>
      <c r="E6" s="12" t="inlineStr">
        <is>
          <t>Acta interna / aprobación</t>
        </is>
      </c>
      <c r="F6" s="12" t="inlineStr">
        <is>
          <t>Pendiente</t>
        </is>
      </c>
      <c r="G6" s="12" t="inlineStr">
        <is>
          <t>Lecturas erróneas</t>
        </is>
      </c>
      <c r="H6" s="12" t="inlineStr">
        <is>
          <t>Aprobar plan</t>
        </is>
      </c>
    </row>
    <row r="7">
      <c r="A7" s="11" t="inlineStr">
        <is>
          <t>Fuente datos históricos</t>
        </is>
      </c>
      <c r="B7" s="11" t="inlineStr">
        <is>
          <t>Datos aportados por dirección: Menorca, Piedrahita, deuda, socios, pipeline</t>
        </is>
      </c>
      <c r="C7" s="11" t="inlineStr">
        <is>
          <t>Input dirección</t>
        </is>
      </c>
      <c r="D7" s="11" t="inlineStr">
        <is>
          <t>Luis</t>
        </is>
      </c>
      <c r="E7" s="11" t="inlineStr">
        <is>
          <t>Carpeta evidencias</t>
        </is>
      </c>
      <c r="F7" s="11" t="inlineStr">
        <is>
          <t>Pendiente</t>
        </is>
      </c>
      <c r="G7" s="11" t="inlineStr">
        <is>
          <t>Auditoría sin soporte</t>
        </is>
      </c>
      <c r="H7" s="11" t="inlineStr">
        <is>
          <t>Adjuntar facturas/contratos</t>
        </is>
      </c>
    </row>
    <row r="8">
      <c r="A8" s="12" t="inlineStr">
        <is>
          <t>Fuente proyección 2027</t>
        </is>
      </c>
      <c r="B8" s="12" t="inlineStr">
        <is>
          <t>Pipeline objetivo y contratos/LOI a formalizar</t>
        </is>
      </c>
      <c r="C8" s="12" t="inlineStr">
        <is>
          <t>Hipótesis objetivo</t>
        </is>
      </c>
      <c r="D8" s="12" t="inlineStr">
        <is>
          <t>Dirección comercial</t>
        </is>
      </c>
      <c r="E8" s="12" t="inlineStr">
        <is>
          <t>LOI/contratos/presupuestos</t>
        </is>
      </c>
      <c r="F8" s="12" t="inlineStr">
        <is>
          <t>Parcial</t>
        </is>
      </c>
      <c r="G8" s="12" t="inlineStr">
        <is>
          <t>Ingresos no reconocibles</t>
        </is>
      </c>
      <c r="H8" s="12" t="inlineStr">
        <is>
          <t>Separar committed vs target</t>
        </is>
      </c>
    </row>
    <row r="9">
      <c r="A9" s="11" t="inlineStr">
        <is>
          <t>Política de cobros</t>
        </is>
      </c>
      <c r="B9" s="11" t="inlineStr">
        <is>
          <t>Cobro por hitos: firma, fabricación, instalación, cierre</t>
        </is>
      </c>
      <c r="C9" s="11" t="inlineStr">
        <is>
          <t>Supuesto operativo</t>
        </is>
      </c>
      <c r="D9" s="11" t="inlineStr">
        <is>
          <t>Finanzas</t>
        </is>
      </c>
      <c r="E9" s="11" t="inlineStr">
        <is>
          <t>Contratos modelo</t>
        </is>
      </c>
      <c r="F9" s="11" t="inlineStr">
        <is>
          <t>Pendiente</t>
        </is>
      </c>
      <c r="G9" s="11" t="inlineStr">
        <is>
          <t>Tensión de caja</t>
        </is>
      </c>
      <c r="H9" s="11" t="inlineStr">
        <is>
          <t>Normalizar cláusulas</t>
        </is>
      </c>
    </row>
    <row r="10">
      <c r="A10" s="12" t="inlineStr">
        <is>
          <t>Modelo laboral</t>
        </is>
      </c>
      <c r="B10" s="12" t="inlineStr">
        <is>
          <t>Equipo base + perfiles 2027 por gates de ingresos</t>
        </is>
      </c>
      <c r="C10" s="12" t="inlineStr">
        <is>
          <t>Supuesto operativo</t>
        </is>
      </c>
      <c r="D10" s="12" t="inlineStr">
        <is>
          <t>CEO/Finanzas</t>
        </is>
      </c>
      <c r="E10" s="12" t="inlineStr">
        <is>
          <t>Contratos/prestación servicios</t>
        </is>
      </c>
      <c r="F10" s="12" t="inlineStr">
        <is>
          <t>Pendiente</t>
        </is>
      </c>
      <c r="G10" s="12" t="inlineStr">
        <is>
          <t>Sobrecoste fijo</t>
        </is>
      </c>
      <c r="H10" s="12" t="inlineStr">
        <is>
          <t>Gates de contratación</t>
        </is>
      </c>
    </row>
    <row r="11">
      <c r="A11" s="11" t="inlineStr">
        <is>
          <t>Valor empresa</t>
        </is>
      </c>
      <c r="B11" s="11" t="inlineStr">
        <is>
          <t>Base 4M€ actual; objetivo 9,5M€ fin 2027 con hitos cumplidos</t>
        </is>
      </c>
      <c r="C11" s="11" t="inlineStr">
        <is>
          <t>Hipótesis valoración</t>
        </is>
      </c>
      <c r="D11" s="11" t="inlineStr">
        <is>
          <t>Dirección</t>
        </is>
      </c>
      <c r="E11" s="11" t="inlineStr">
        <is>
          <t>Informe interno valoración</t>
        </is>
      </c>
      <c r="F11" s="11" t="inlineStr">
        <is>
          <t>Pendiente</t>
        </is>
      </c>
      <c r="G11" s="11" t="inlineStr">
        <is>
          <t>Sobrevaloración</t>
        </is>
      </c>
      <c r="H11" s="11" t="inlineStr">
        <is>
          <t>Apoyar con KPIs</t>
        </is>
      </c>
    </row>
  </sheetData>
  <mergeCells count="2">
    <mergeCell ref="A2:H2"/>
    <mergeCell ref="A1:H1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6" customWidth="1" min="3" max="3"/>
    <col width="16" customWidth="1" min="4" max="4"/>
    <col width="16" customWidth="1" min="5" max="5"/>
    <col width="20" customWidth="1" min="6" max="6"/>
    <col width="42" customWidth="1" min="7" max="7"/>
    <col width="30" customWidth="1" min="8" max="8"/>
    <col width="34" customWidth="1" min="9" max="9"/>
    <col width="16" customWidth="1" min="10" max="10"/>
  </cols>
  <sheetData>
    <row r="1" ht="30" customHeight="1">
      <c r="A1" s="1" t="inlineStr">
        <is>
          <t>Supuestos del modelo</t>
        </is>
      </c>
    </row>
    <row r="2" ht="22" customHeight="1">
      <c r="A2" s="2" t="inlineStr">
        <is>
          <t>Unidades explícitas: importes en euros, meses, fechas y márgenes reales; sin confundir cifras con porcentajes</t>
        </is>
      </c>
    </row>
    <row r="4" ht="24" customHeight="1">
      <c r="A4" s="10" t="inlineStr">
        <is>
          <t>ID</t>
        </is>
      </c>
      <c r="B4" s="10" t="inlineStr">
        <is>
          <t>Categoría</t>
        </is>
      </c>
      <c r="C4" s="10" t="inlineStr">
        <is>
          <t>Dato / supuesto</t>
        </is>
      </c>
      <c r="D4" s="10" t="inlineStr">
        <is>
          <t>Valor</t>
        </is>
      </c>
      <c r="E4" s="10" t="inlineStr">
        <is>
          <t>Unidad</t>
        </is>
      </c>
      <c r="F4" s="10" t="inlineStr">
        <is>
          <t>Naturaleza</t>
        </is>
      </c>
      <c r="G4" s="10" t="inlineStr">
        <is>
          <t>Fuente / comentario</t>
        </is>
      </c>
      <c r="H4" s="10" t="inlineStr">
        <is>
          <t>Impacto</t>
        </is>
      </c>
      <c r="I4" s="10" t="inlineStr">
        <is>
          <t>Validación requerida</t>
        </is>
      </c>
      <c r="J4" s="10" t="inlineStr">
        <is>
          <t>Estado</t>
        </is>
      </c>
    </row>
    <row r="5">
      <c r="A5" s="11" t="inlineStr">
        <is>
          <t>S01</t>
        </is>
      </c>
      <c r="B5" s="11" t="inlineStr">
        <is>
          <t>Capital</t>
        </is>
      </c>
      <c r="C5" s="11" t="inlineStr">
        <is>
          <t>Capital mínimo necesario</t>
        </is>
      </c>
      <c r="D5" s="7" t="n">
        <v>300000</v>
      </c>
      <c r="E5" s="11" t="inlineStr">
        <is>
          <t>€</t>
        </is>
      </c>
      <c r="F5" s="11" t="inlineStr">
        <is>
          <t>Input dirección</t>
        </is>
      </c>
      <c r="G5" s="11" t="inlineStr">
        <is>
          <t>Definido como único escenario BP</t>
        </is>
      </c>
      <c r="H5" s="11" t="inlineStr">
        <is>
          <t>Financiación de ejecución</t>
        </is>
      </c>
      <c r="I5" s="11" t="inlineStr">
        <is>
          <t>Acuerdo de inversión / préstamo / aportación</t>
        </is>
      </c>
      <c r="J5" s="11" t="inlineStr">
        <is>
          <t>Pendiente</t>
        </is>
      </c>
    </row>
    <row r="6">
      <c r="A6" s="12" t="inlineStr">
        <is>
          <t>S02</t>
        </is>
      </c>
      <c r="B6" s="12" t="inlineStr">
        <is>
          <t>Marketing</t>
        </is>
      </c>
      <c r="C6" s="12" t="inlineStr">
        <is>
          <t>Partida marketing y comunicación</t>
        </is>
      </c>
      <c r="D6" s="13" t="n">
        <v>18000</v>
      </c>
      <c r="E6" s="12" t="inlineStr">
        <is>
          <t>€</t>
        </is>
      </c>
      <c r="F6" s="12" t="inlineStr">
        <is>
          <t>Input dirección</t>
        </is>
      </c>
      <c r="G6" s="12" t="inlineStr">
        <is>
          <t>Reducida según ajuste del usuario</t>
        </is>
      </c>
      <c r="H6" s="12" t="inlineStr">
        <is>
          <t>Go-to-market septiembre 2026</t>
        </is>
      </c>
      <c r="I6" s="12" t="inlineStr">
        <is>
          <t>Presupuesto Jacqueline/proveedores</t>
        </is>
      </c>
      <c r="J6" s="12" t="inlineStr">
        <is>
          <t>Pendiente</t>
        </is>
      </c>
    </row>
    <row r="7">
      <c r="A7" s="11" t="inlineStr">
        <is>
          <t>S03</t>
        </is>
      </c>
      <c r="B7" s="11" t="inlineStr">
        <is>
          <t>Software/IT</t>
        </is>
      </c>
      <c r="C7" s="11" t="inlineStr">
        <is>
          <t>Partida Software/IT/Telecom reforzada</t>
        </is>
      </c>
      <c r="D7" s="7" t="n">
        <v>78000</v>
      </c>
      <c r="E7" s="11" t="inlineStr">
        <is>
          <t>€</t>
        </is>
      </c>
      <c r="F7" s="11" t="inlineStr">
        <is>
          <t>Supuesto operativo</t>
        </is>
      </c>
      <c r="G7" s="11" t="inlineStr">
        <is>
          <t>Aumentada respecto a la planificacion previa para reforzar producto y salida comercial</t>
        </is>
      </c>
      <c r="H7" s="11" t="inlineStr">
        <is>
          <t>Producto robusto y escalable</t>
        </is>
      </c>
      <c r="I7" s="11" t="inlineStr">
        <is>
          <t>Presupuestos SaaS/hardware/cloud</t>
        </is>
      </c>
      <c r="J7" s="11" t="inlineStr">
        <is>
          <t>Pendiente</t>
        </is>
      </c>
    </row>
    <row r="8">
      <c r="A8" s="12" t="inlineStr">
        <is>
          <t>S04</t>
        </is>
      </c>
      <c r="B8" s="12" t="inlineStr">
        <is>
          <t>Llar de Mar 2</t>
        </is>
      </c>
      <c r="C8" s="12" t="inlineStr">
        <is>
          <t>Facturación objetivo Llar de Mar 2</t>
        </is>
      </c>
      <c r="D8" s="13" t="n">
        <v>535000</v>
      </c>
      <c r="E8" s="12" t="inlineStr">
        <is>
          <t>€</t>
        </is>
      </c>
      <c r="F8" s="12" t="inlineStr">
        <is>
          <t>Input dirección</t>
        </is>
      </c>
      <c r="G8" s="12" t="inlineStr">
        <is>
          <t>Actualizado por dirección</t>
        </is>
      </c>
      <c r="H8" s="12" t="inlineStr">
        <is>
          <t>Ingreso Q1-Q2 2027</t>
        </is>
      </c>
      <c r="I8" s="12" t="inlineStr">
        <is>
          <t>Contrato / presupuesto Tash</t>
        </is>
      </c>
      <c r="J8" s="12" t="inlineStr">
        <is>
          <t>Pendiente</t>
        </is>
      </c>
    </row>
    <row r="9">
      <c r="A9" s="11" t="inlineStr">
        <is>
          <t>S05</t>
        </is>
      </c>
      <c r="B9" s="11" t="inlineStr">
        <is>
          <t>KIWA/RMOOB A</t>
        </is>
      </c>
      <c r="C9" s="11" t="inlineStr">
        <is>
          <t>Proyecto KIWA/RMOOB mayo 2027</t>
        </is>
      </c>
      <c r="D9" s="7" t="n">
        <v>450000</v>
      </c>
      <c r="E9" s="11" t="inlineStr">
        <is>
          <t>€</t>
        </is>
      </c>
      <c r="F9" s="11" t="inlineStr">
        <is>
          <t>Hipótesis objetivo</t>
        </is>
      </c>
      <c r="G9" s="11" t="inlineStr">
        <is>
          <t>Proyecto colaborativo KIWA materia + CUEVA producto</t>
        </is>
      </c>
      <c r="H9" s="11" t="inlineStr">
        <is>
          <t>Ingreso mayo-agosto 2027</t>
        </is>
      </c>
      <c r="I9" s="11" t="inlineStr">
        <is>
          <t>LOI/contrato</t>
        </is>
      </c>
      <c r="J9" s="11" t="inlineStr">
        <is>
          <t>Pendiente</t>
        </is>
      </c>
    </row>
    <row r="10">
      <c r="A10" s="12" t="inlineStr">
        <is>
          <t>S06</t>
        </is>
      </c>
      <c r="B10" s="12" t="inlineStr">
        <is>
          <t>KIWA/RMOOB B1</t>
        </is>
      </c>
      <c r="C10" s="12" t="inlineStr">
        <is>
          <t>Fase 1 proyecto 800k</t>
        </is>
      </c>
      <c r="D10" s="13" t="n">
        <v>400000</v>
      </c>
      <c r="E10" s="12" t="inlineStr">
        <is>
          <t>€</t>
        </is>
      </c>
      <c r="F10" s="12" t="inlineStr">
        <is>
          <t>Hipótesis objetivo</t>
        </is>
      </c>
      <c r="G10" s="12" t="inlineStr">
        <is>
          <t>Mitad del proyecto de 800k, distribuida en H2 2027</t>
        </is>
      </c>
      <c r="H10" s="12" t="inlineStr">
        <is>
          <t>Ingreso julio-octubre 2027</t>
        </is>
      </c>
      <c r="I10" s="12" t="inlineStr">
        <is>
          <t>LOI/contrato</t>
        </is>
      </c>
      <c r="J10" s="12" t="inlineStr">
        <is>
          <t>Pendiente</t>
        </is>
      </c>
    </row>
    <row r="11">
      <c r="A11" s="11" t="inlineStr">
        <is>
          <t>S07</t>
        </is>
      </c>
      <c r="B11" s="11" t="inlineStr">
        <is>
          <t>KIWA/RMOOB B2</t>
        </is>
      </c>
      <c r="C11" s="11" t="inlineStr">
        <is>
          <t>Fase 2 proyecto 800k</t>
        </is>
      </c>
      <c r="D11" s="7" t="n">
        <v>400000</v>
      </c>
      <c r="E11" s="11" t="inlineStr">
        <is>
          <t>€</t>
        </is>
      </c>
      <c r="F11" s="11" t="inlineStr">
        <is>
          <t>Hipótesis objetivo</t>
        </is>
      </c>
      <c r="G11" s="11" t="inlineStr">
        <is>
          <t>Segunda mitad del proyecto de 800k, distribuida en H2 2027</t>
        </is>
      </c>
      <c r="H11" s="11" t="inlineStr">
        <is>
          <t>Ingreso octubre-diciembre 2027</t>
        </is>
      </c>
      <c r="I11" s="11" t="inlineStr">
        <is>
          <t>LOI/contrato</t>
        </is>
      </c>
      <c r="J11" s="11" t="inlineStr">
        <is>
          <t>Pendiente</t>
        </is>
      </c>
    </row>
    <row r="12">
      <c r="A12" s="12" t="inlineStr">
        <is>
          <t>S08</t>
        </is>
      </c>
      <c r="B12" s="12" t="inlineStr">
        <is>
          <t>Valor empresa</t>
        </is>
      </c>
      <c r="C12" s="12" t="inlineStr">
        <is>
          <t>Valor actual de referencia</t>
        </is>
      </c>
      <c r="D12" s="13" t="n">
        <v>4000000</v>
      </c>
      <c r="E12" s="12" t="inlineStr">
        <is>
          <t>€</t>
        </is>
      </c>
      <c r="F12" s="12" t="inlineStr">
        <is>
          <t>Input dirección</t>
        </is>
      </c>
      <c r="G12" s="12" t="inlineStr">
        <is>
          <t>Base: inversión histórica acumulada / valor interno actual</t>
        </is>
      </c>
      <c r="H12" s="12" t="inlineStr">
        <is>
          <t>Bridge valoración</t>
        </is>
      </c>
      <c r="I12" s="12" t="inlineStr">
        <is>
          <t>Cap table y memoria inversión</t>
        </is>
      </c>
      <c r="J12" s="12" t="inlineStr">
        <is>
          <t>Pendiente</t>
        </is>
      </c>
    </row>
    <row r="13">
      <c r="A13" s="11" t="inlineStr">
        <is>
          <t>S09</t>
        </is>
      </c>
      <c r="B13" s="11" t="inlineStr">
        <is>
          <t>Valor empresa</t>
        </is>
      </c>
      <c r="C13" s="11" t="inlineStr">
        <is>
          <t>Valor objetivo fin 2027</t>
        </is>
      </c>
      <c r="D13" s="7" t="n">
        <v>9500000</v>
      </c>
      <c r="E13" s="11" t="inlineStr">
        <is>
          <t>€</t>
        </is>
      </c>
      <c r="F13" s="11" t="inlineStr">
        <is>
          <t>Hipótesis objetivo</t>
        </is>
      </c>
      <c r="G13" s="11" t="inlineStr">
        <is>
          <t>Rango razonado 8M-12M con hitos cumplidos</t>
        </is>
      </c>
      <c r="H13" s="11" t="inlineStr">
        <is>
          <t>Negociación futura</t>
        </is>
      </c>
      <c r="I13" s="11" t="inlineStr">
        <is>
          <t>Informe valoración</t>
        </is>
      </c>
      <c r="J13" s="11" t="inlineStr">
        <is>
          <t>Pendiente</t>
        </is>
      </c>
    </row>
    <row r="14">
      <c r="A14" s="12" t="inlineStr">
        <is>
          <t>S10</t>
        </is>
      </c>
      <c r="B14" s="12" t="inlineStr">
        <is>
          <t>Apellicer</t>
        </is>
      </c>
      <c r="C14" s="12" t="inlineStr">
        <is>
          <t>Alquiler carpa mensual</t>
        </is>
      </c>
      <c r="D14" s="13" t="n">
        <v>1029</v>
      </c>
      <c r="E14" s="12" t="inlineStr">
        <is>
          <t>€/mes + IVA</t>
        </is>
      </c>
      <c r="F14" s="12" t="inlineStr">
        <is>
          <t>Input dirección</t>
        </is>
      </c>
      <c r="G14" s="12" t="inlineStr">
        <is>
          <t>Febrero-julio pendiente; se cubren 4 mensualidades y resto condonado</t>
        </is>
      </c>
      <c r="H14" s="12" t="inlineStr">
        <is>
          <t>Saneamiento relación local</t>
        </is>
      </c>
      <c r="I14" s="12" t="inlineStr">
        <is>
          <t>Acuerdo escrito condonación</t>
        </is>
      </c>
      <c r="J14" s="12" t="inlineStr">
        <is>
          <t>Pendiente</t>
        </is>
      </c>
    </row>
    <row r="15">
      <c r="A15" s="11" t="inlineStr">
        <is>
          <t>S11</t>
        </is>
      </c>
      <c r="B15" s="11" t="inlineStr">
        <is>
          <t>Medhi</t>
        </is>
      </c>
      <c r="C15" s="11" t="inlineStr">
        <is>
          <t>Conversión deuda a OADAC</t>
        </is>
      </c>
      <c r="D15" s="7" t="n">
        <v>10000</v>
      </c>
      <c r="E15" s="11" t="inlineStr">
        <is>
          <t>€</t>
        </is>
      </c>
      <c r="F15" s="11" t="inlineStr">
        <is>
          <t>Input dirección</t>
        </is>
      </c>
      <c r="G15" s="11" t="inlineStr">
        <is>
          <t>Reconversión en 8% de OADAC</t>
        </is>
      </c>
      <c r="H15" s="11" t="inlineStr">
        <is>
          <t>Partner personal Menorca</t>
        </is>
      </c>
      <c r="I15" s="11" t="inlineStr">
        <is>
          <t>Contrato societario</t>
        </is>
      </c>
      <c r="J15" s="11" t="inlineStr">
        <is>
          <t>Pendiente</t>
        </is>
      </c>
    </row>
    <row r="16">
      <c r="A16" s="12" t="inlineStr">
        <is>
          <t>S12</t>
        </is>
      </c>
      <c r="B16" s="12" t="inlineStr">
        <is>
          <t>Ferzohaus</t>
        </is>
      </c>
      <c r="C16" s="12" t="inlineStr">
        <is>
          <t>Deuda negociada</t>
        </is>
      </c>
      <c r="D16" s="13" t="n">
        <v>3500</v>
      </c>
      <c r="E16" s="12" t="inlineStr">
        <is>
          <t>€</t>
        </is>
      </c>
      <c r="F16" s="12" t="inlineStr">
        <is>
          <t>Input dirección</t>
        </is>
      </c>
      <c r="G16" s="12" t="inlineStr">
        <is>
          <t>Importe negociado cierre</t>
        </is>
      </c>
      <c r="H16" s="12" t="inlineStr">
        <is>
          <t>Saneamiento proveedor</t>
        </is>
      </c>
      <c r="I16" s="12" t="inlineStr">
        <is>
          <t>Acuerdo de pago</t>
        </is>
      </c>
      <c r="J16" s="12" t="inlineStr">
        <is>
          <t>Pendiente</t>
        </is>
      </c>
    </row>
  </sheetData>
  <mergeCells count="2">
    <mergeCell ref="A1:J1"/>
    <mergeCell ref="A2:J2"/>
  </mergeCells>
  <pageMargins left="0.25" right="0.25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42" customWidth="1" min="4" max="4"/>
    <col width="34" customWidth="1" min="5" max="5"/>
    <col width="24" customWidth="1" min="6" max="6"/>
    <col width="24" customWidth="1" min="7" max="7"/>
    <col width="44" customWidth="1" min="8" max="8"/>
  </cols>
  <sheetData>
    <row r="1" ht="30" customHeight="1">
      <c r="A1" s="1" t="inlineStr">
        <is>
          <t>Uso de fondos - 300.000 €</t>
        </is>
      </c>
    </row>
    <row r="2" ht="22" customHeight="1">
      <c r="A2" s="2" t="inlineStr">
        <is>
          <t>Asignación cerrada del capital mínimo necesario. Importes en €.</t>
        </is>
      </c>
    </row>
    <row r="4" ht="24" customHeight="1">
      <c r="A4" s="10" t="inlineStr">
        <is>
          <t>Bloque</t>
        </is>
      </c>
      <c r="B4" s="10" t="inlineStr">
        <is>
          <t>Importe (€)</t>
        </is>
      </c>
      <c r="C4" s="10" t="inlineStr">
        <is>
          <t>% del total</t>
        </is>
      </c>
      <c r="D4" s="10" t="inlineStr">
        <is>
          <t>Objetivo</t>
        </is>
      </c>
      <c r="E4" s="10" t="inlineStr">
        <is>
          <t>Gates de liberación</t>
        </is>
      </c>
      <c r="F4" s="10" t="inlineStr">
        <is>
          <t>Responsable</t>
        </is>
      </c>
      <c r="G4" s="10" t="inlineStr">
        <is>
          <t>Evidencia</t>
        </is>
      </c>
      <c r="H4" s="10" t="inlineStr">
        <is>
          <t>Notas auditables</t>
        </is>
      </c>
    </row>
    <row r="5">
      <c r="A5" s="11" t="inlineStr">
        <is>
          <t>Equipo base julio-diciembre 2026</t>
        </is>
      </c>
      <c r="B5" s="7" t="n">
        <v>114600</v>
      </c>
      <c r="C5" s="14">
        <f>B5/$B$13</f>
        <v/>
      </c>
      <c r="D5" s="11" t="inlineStr">
        <is>
          <t>Sostener equipo núcleo y ejecución</t>
        </is>
      </c>
      <c r="E5" s="11" t="inlineStr">
        <is>
          <t>Calendario mensual y roles definidos</t>
        </is>
      </c>
      <c r="F5" s="11" t="inlineStr">
        <is>
          <t>CEO/Finanzas</t>
        </is>
      </c>
      <c r="G5" s="11" t="inlineStr">
        <is>
          <t>Pestaña 05</t>
        </is>
      </c>
      <c r="H5" s="11" t="inlineStr">
        <is>
          <t>Sueldo/coste profesional según input dirección</t>
        </is>
      </c>
    </row>
    <row r="6">
      <c r="A6" s="12" t="inlineStr">
        <is>
          <t>Seguridad Social / gestoría laboral / cumplimiento</t>
        </is>
      </c>
      <c r="B6" s="13" t="n">
        <v>18000</v>
      </c>
      <c r="C6" s="15">
        <f>B6/$B$13</f>
        <v/>
      </c>
      <c r="D6" s="12" t="inlineStr">
        <is>
          <t>Provisión laboral y regularización de costes</t>
        </is>
      </c>
      <c r="E6" s="12" t="inlineStr">
        <is>
          <t>Contrataciones y contratos formalizados</t>
        </is>
      </c>
      <c r="F6" s="12" t="inlineStr">
        <is>
          <t>Finanzas</t>
        </is>
      </c>
      <c r="G6" s="12" t="inlineStr">
        <is>
          <t>Pestaña 06</t>
        </is>
      </c>
      <c r="H6" s="12" t="inlineStr">
        <is>
          <t>Provisión ajustable según modalidad contractual</t>
        </is>
      </c>
    </row>
    <row r="7">
      <c r="A7" s="11" t="inlineStr">
        <is>
          <t>Software / IT / telecomunicaciones / IA</t>
        </is>
      </c>
      <c r="B7" s="7" t="n">
        <v>78000</v>
      </c>
      <c r="C7" s="14">
        <f>B7/$B$13</f>
        <v/>
      </c>
      <c r="D7" s="11" t="inlineStr">
        <is>
          <t>Reforzar producto, plataforma, telecom, DPP/POI y salida comercial</t>
        </is>
      </c>
      <c r="E7" s="11" t="inlineStr">
        <is>
          <t>Compra por hitos y necesidades de proyecto</t>
        </is>
      </c>
      <c r="F7" s="11" t="inlineStr">
        <is>
          <t>Hernán / Santi</t>
        </is>
      </c>
      <c r="G7" s="11" t="inlineStr">
        <is>
          <t>Pestañas 08-09</t>
        </is>
      </c>
      <c r="H7" s="11" t="inlineStr">
        <is>
          <t>Partida aumentada para robustez producto</t>
        </is>
      </c>
    </row>
    <row r="8">
      <c r="A8" s="12" t="inlineStr">
        <is>
          <t>Marketing y comunicación</t>
        </is>
      </c>
      <c r="B8" s="13" t="n">
        <v>18000</v>
      </c>
      <c r="C8" s="15">
        <f>B8/$B$13</f>
        <v/>
      </c>
      <c r="D8" s="12" t="inlineStr">
        <is>
          <t>Salida comercial profesional septiembre 2026</t>
        </is>
      </c>
      <c r="E8" s="12" t="inlineStr">
        <is>
          <t>Web, deck, casos y contenido listos</t>
        </is>
      </c>
      <c r="F8" s="12" t="inlineStr">
        <is>
          <t>Jacqueline / Luis</t>
        </is>
      </c>
      <c r="G8" s="12" t="inlineStr">
        <is>
          <t>Plan de marketing</t>
        </is>
      </c>
      <c r="H8" s="12" t="inlineStr">
        <is>
          <t>Partida ajustada por dirección</t>
        </is>
      </c>
    </row>
    <row r="9">
      <c r="A9" s="11" t="inlineStr">
        <is>
          <t>Saneamiento deuda y cierres críticos</t>
        </is>
      </c>
      <c r="B9" s="7" t="n">
        <v>43400</v>
      </c>
      <c r="C9" s="14">
        <f>B9/$B$13</f>
        <v/>
      </c>
      <c r="D9" s="11" t="inlineStr">
        <is>
          <t>Cerrar fricción reputacional y operativa</t>
        </is>
      </c>
      <c r="E9" s="11" t="inlineStr">
        <is>
          <t>Acuerdos firmados con proveedores</t>
        </is>
      </c>
      <c r="F9" s="11" t="inlineStr">
        <is>
          <t>CEO/Finanzas</t>
        </is>
      </c>
      <c r="G9" s="11" t="inlineStr">
        <is>
          <t>Pestaña 04</t>
        </is>
      </c>
      <c r="H9" s="11" t="inlineStr">
        <is>
          <t>Incluye Medhi, Apellicer, Ferzohaus y timings Piedrahita</t>
        </is>
      </c>
    </row>
    <row r="10">
      <c r="A10" s="12" t="inlineStr">
        <is>
          <t>Hub OADAC / Valeriano / showroom fase 0-1</t>
        </is>
      </c>
      <c r="B10" s="13" t="n">
        <v>23000</v>
      </c>
      <c r="C10" s="15">
        <f>B10/$B$13</f>
        <v/>
      </c>
      <c r="D10" s="12" t="inlineStr">
        <is>
          <t>Activar nodo operativo Menorca sin sobredimensionar</t>
        </is>
      </c>
      <c r="E10" s="12" t="inlineStr">
        <is>
          <t>Acuerdo Valeriano y layout definido</t>
        </is>
      </c>
      <c r="F10" s="12" t="inlineStr">
        <is>
          <t>Luis / Valeriano / Medhi</t>
        </is>
      </c>
      <c r="G10" s="12" t="inlineStr">
        <is>
          <t>Pestaña 14</t>
        </is>
      </c>
      <c r="H10" s="12" t="inlineStr">
        <is>
          <t>Aprovecha aportación industrial de Valeriano</t>
        </is>
      </c>
    </row>
    <row r="11">
      <c r="A11" s="11" t="inlineStr">
        <is>
          <t>Legal, auditoría, documentación y contingencia</t>
        </is>
      </c>
      <c r="B11" s="7" t="n">
        <v>5000</v>
      </c>
      <c r="C11" s="14">
        <f>B11/$B$13</f>
        <v/>
      </c>
      <c r="D11" s="11" t="inlineStr">
        <is>
          <t>Blindaje documental y revisión externa</t>
        </is>
      </c>
      <c r="E11" s="11" t="inlineStr">
        <is>
          <t>Checklist audit-ready</t>
        </is>
      </c>
      <c r="F11" s="11" t="inlineStr">
        <is>
          <t>Dirección</t>
        </is>
      </c>
      <c r="G11" s="11" t="inlineStr">
        <is>
          <t>Pestaña 20</t>
        </is>
      </c>
      <c r="H11" s="11" t="inlineStr">
        <is>
          <t>Colchón limitado; debe gestionarse por gates</t>
        </is>
      </c>
    </row>
    <row r="12">
      <c r="A12" s="16" t="inlineStr">
        <is>
          <t>TOTAL</t>
        </is>
      </c>
      <c r="B12" s="17">
        <f>SUM(B5:B11)</f>
        <v/>
      </c>
      <c r="C12" s="16">
        <f>B12/$B$13</f>
        <v/>
      </c>
      <c r="D12" s="16" t="inlineStr"/>
      <c r="E12" s="16" t="inlineStr"/>
      <c r="F12" s="16" t="inlineStr"/>
      <c r="G12" s="16" t="inlineStr"/>
      <c r="H12" s="16" t="inlineStr"/>
    </row>
    <row r="13">
      <c r="A13" s="16" t="inlineStr">
        <is>
          <t>Control capital mínimo</t>
        </is>
      </c>
      <c r="B13" s="18" t="n">
        <v>300000</v>
      </c>
      <c r="C13" s="16" t="inlineStr"/>
      <c r="D13" s="16" t="inlineStr"/>
      <c r="E13" s="16" t="inlineStr"/>
      <c r="F13" s="16" t="inlineStr"/>
      <c r="G13" s="16" t="inlineStr"/>
      <c r="H13" s="16" t="inlineStr">
        <is>
          <t>Debe cuadrar con total de uso de fondos</t>
        </is>
      </c>
    </row>
  </sheetData>
  <mergeCells count="2">
    <mergeCell ref="A2:H2"/>
    <mergeCell ref="A1:H1"/>
  </mergeCells>
  <pageMargins left="0.25" right="0.25" top="0.5" bottom="0.5" header="0.5" footer="0.5"/>
  <pageSetup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4" customWidth="1" min="3" max="3"/>
    <col width="16" customWidth="1" min="4" max="4"/>
    <col width="20" customWidth="1" min="5" max="5"/>
    <col width="22" customWidth="1" min="6" max="6"/>
    <col width="20" customWidth="1" min="7" max="7"/>
    <col width="14" customWidth="1" min="8" max="8"/>
    <col width="28" customWidth="1" min="9" max="9"/>
    <col width="16" customWidth="1" min="10" max="10"/>
    <col width="44" customWidth="1" min="11" max="11"/>
  </cols>
  <sheetData>
    <row r="1" ht="30" customHeight="1">
      <c r="A1" s="1" t="inlineStr">
        <is>
          <t>Saneamiento de deuda y cierres críticos</t>
        </is>
      </c>
    </row>
    <row r="2" ht="22" customHeight="1">
      <c r="A2" s="2" t="inlineStr">
        <is>
          <t>Tratamiento por actor: pagar, convertir, condonar, negociar o ring-fence</t>
        </is>
      </c>
    </row>
    <row r="4" ht="24" customHeight="1">
      <c r="A4" s="10" t="inlineStr">
        <is>
          <t>Actor</t>
        </is>
      </c>
      <c r="B4" s="10" t="inlineStr">
        <is>
          <t>Importe bruto/referencia (€)</t>
        </is>
      </c>
      <c r="C4" s="10" t="inlineStr">
        <is>
          <t>Tratamiento</t>
        </is>
      </c>
      <c r="D4" s="10" t="inlineStr">
        <is>
          <t>Cash 2026 (€)</t>
        </is>
      </c>
      <c r="E4" s="10" t="inlineStr">
        <is>
          <t>Conversión/condonación (€)</t>
        </is>
      </c>
      <c r="F4" s="10" t="inlineStr">
        <is>
          <t>Calendario</t>
        </is>
      </c>
      <c r="G4" s="10" t="inlineStr">
        <is>
          <t>Responsable</t>
        </is>
      </c>
      <c r="H4" s="10" t="inlineStr">
        <is>
          <t>Prioridad</t>
        </is>
      </c>
      <c r="I4" s="10" t="inlineStr">
        <is>
          <t>Documento soporte</t>
        </is>
      </c>
      <c r="J4" s="10" t="inlineStr">
        <is>
          <t>Estado</t>
        </is>
      </c>
      <c r="K4" s="10" t="inlineStr">
        <is>
          <t>Comentario</t>
        </is>
      </c>
    </row>
    <row r="5">
      <c r="A5" s="11" t="inlineStr">
        <is>
          <t>Medhi / Bini Aida</t>
        </is>
      </c>
      <c r="B5" s="7" t="n">
        <v>25000</v>
      </c>
      <c r="C5" s="11" t="inlineStr">
        <is>
          <t>Pagar 15k y convertir 10k en 8% OADAC</t>
        </is>
      </c>
      <c r="D5" s="7" t="n">
        <v>15000</v>
      </c>
      <c r="E5" s="7" t="n">
        <v>10000</v>
      </c>
      <c r="F5" s="11" t="inlineStr">
        <is>
          <t>Julio-agosto 2026</t>
        </is>
      </c>
      <c r="G5" s="11" t="inlineStr">
        <is>
          <t>Luis / Ángel</t>
        </is>
      </c>
      <c r="H5" s="11" t="inlineStr">
        <is>
          <t>Muy alta</t>
        </is>
      </c>
      <c r="I5" s="11" t="inlineStr">
        <is>
          <t>Acuerdo deuda + pacto socios OADAC</t>
        </is>
      </c>
      <c r="J5" s="11" t="inlineStr">
        <is>
          <t>Pendiente</t>
        </is>
      </c>
      <c r="K5" s="11" t="inlineStr">
        <is>
          <t>Partner estratégico de personal Menorca; sustituye a Jorge como referente inicial en Menorca</t>
        </is>
      </c>
    </row>
    <row r="6">
      <c r="A6" s="12" t="inlineStr">
        <is>
          <t>Ferzohaus</t>
        </is>
      </c>
      <c r="B6" s="13" t="n">
        <v>5500</v>
      </c>
      <c r="C6" s="12" t="inlineStr">
        <is>
          <t>Cierre negociado a 3,5k</t>
        </is>
      </c>
      <c r="D6" s="13" t="n">
        <v>3500</v>
      </c>
      <c r="E6" s="13" t="n">
        <v>2000</v>
      </c>
      <c r="F6" s="12" t="inlineStr">
        <is>
          <t>Julio-septiembre 2026</t>
        </is>
      </c>
      <c r="G6" s="12" t="inlineStr">
        <is>
          <t>Luis</t>
        </is>
      </c>
      <c r="H6" s="12" t="inlineStr">
        <is>
          <t>Media-alta</t>
        </is>
      </c>
      <c r="I6" s="12" t="inlineStr">
        <is>
          <t>Acuerdo de liquidación</t>
        </is>
      </c>
      <c r="J6" s="12" t="inlineStr">
        <is>
          <t>Pendiente</t>
        </is>
      </c>
      <c r="K6" s="12" t="inlineStr">
        <is>
          <t>Cerrar sin ruido reputacional</t>
        </is>
      </c>
    </row>
    <row r="7">
      <c r="A7" s="11" t="inlineStr">
        <is>
          <t>Apellicer carpa/campa</t>
        </is>
      </c>
      <c r="B7" s="7" t="n">
        <v>7469</v>
      </c>
      <c r="C7" s="11" t="inlineStr">
        <is>
          <t>Pagar 4 mensualidades con IVA y desalojar; resto condonado</t>
        </is>
      </c>
      <c r="D7" s="7" t="n">
        <v>4980</v>
      </c>
      <c r="E7" s="7" t="n">
        <v>2489</v>
      </c>
      <c r="F7" s="11" t="inlineStr">
        <is>
          <t>2+2 pagos; salida nave</t>
        </is>
      </c>
      <c r="G7" s="11" t="inlineStr">
        <is>
          <t>Luis / Ángel</t>
        </is>
      </c>
      <c r="H7" s="11" t="inlineStr">
        <is>
          <t>Alta</t>
        </is>
      </c>
      <c r="I7" s="11" t="inlineStr">
        <is>
          <t>Acuerdo condonación + acta desalojo</t>
        </is>
      </c>
      <c r="J7" s="11" t="inlineStr">
        <is>
          <t>Pendiente</t>
        </is>
      </c>
      <c r="K7" s="11" t="inlineStr">
        <is>
          <t>1.029 €/mes + IVA; pendiente feb-jul incluidos</t>
        </is>
      </c>
    </row>
    <row r="8">
      <c r="A8" s="12" t="inlineStr">
        <is>
          <t>Limpieza/desalojo Apellicer</t>
        </is>
      </c>
      <c r="B8" s="13" t="n">
        <v>2500</v>
      </c>
      <c r="C8" s="12" t="inlineStr">
        <is>
          <t>Ejecutar limpieza final y entrega</t>
        </is>
      </c>
      <c r="D8" s="13" t="n">
        <v>2500</v>
      </c>
      <c r="E8" s="13" t="n">
        <v>0</v>
      </c>
      <c r="F8" s="12" t="inlineStr">
        <is>
          <t>Julio-agosto 2026</t>
        </is>
      </c>
      <c r="G8" s="12" t="inlineStr">
        <is>
          <t>Luis / Medhi</t>
        </is>
      </c>
      <c r="H8" s="12" t="inlineStr">
        <is>
          <t>Alta</t>
        </is>
      </c>
      <c r="I8" s="12" t="inlineStr">
        <is>
          <t>Parte entrega / fotos</t>
        </is>
      </c>
      <c r="J8" s="12" t="inlineStr">
        <is>
          <t>Pendiente</t>
        </is>
      </c>
      <c r="K8" s="12" t="inlineStr">
        <is>
          <t>Eliminar devengo mensual</t>
        </is>
      </c>
    </row>
    <row r="9">
      <c r="A9" s="11" t="inlineStr">
        <is>
          <t>Piedrahita remate obra</t>
        </is>
      </c>
      <c r="B9" s="7" t="n">
        <v>20400</v>
      </c>
      <c r="C9" s="11" t="inlineStr">
        <is>
          <t>Ring-fenced: usar cobros cliente y apoyo temporal si hay gap</t>
        </is>
      </c>
      <c r="D9" s="7" t="n">
        <v>4400</v>
      </c>
      <c r="E9" s="7" t="n">
        <v>16000</v>
      </c>
      <c r="F9" s="11" t="inlineStr">
        <is>
          <t>Julio-septiembre 2026</t>
        </is>
      </c>
      <c r="G9" s="11" t="inlineStr">
        <is>
          <t>Luis / Jorge apoyo</t>
        </is>
      </c>
      <c r="H9" s="11" t="inlineStr">
        <is>
          <t>Muy alta</t>
        </is>
      </c>
      <c r="I9" s="11" t="inlineStr">
        <is>
          <t>Presupuesto cierre obra</t>
        </is>
      </c>
      <c r="J9" s="11" t="inlineStr">
        <is>
          <t>En marcha</t>
        </is>
      </c>
      <c r="K9" s="11" t="inlineStr">
        <is>
          <t>Cimentación, estructura y fachadas ejecutadas; saneamientos/interiores en curso; cierre mediados septiembre</t>
        </is>
      </c>
    </row>
    <row r="10">
      <c r="A10" s="12" t="inlineStr">
        <is>
          <t>Otros cierres/provisiones</t>
        </is>
      </c>
      <c r="B10" s="13" t="n">
        <v>13020</v>
      </c>
      <c r="C10" s="12" t="inlineStr">
        <is>
          <t>Bolsa de negociación y documentación</t>
        </is>
      </c>
      <c r="D10" s="13" t="n">
        <v>13020</v>
      </c>
      <c r="E10" s="13" t="n">
        <v>0</v>
      </c>
      <c r="F10" s="12" t="inlineStr">
        <is>
          <t>Julio-diciembre 2026</t>
        </is>
      </c>
      <c r="G10" s="12" t="inlineStr">
        <is>
          <t>Dirección</t>
        </is>
      </c>
      <c r="H10" s="12" t="inlineStr">
        <is>
          <t>Media</t>
        </is>
      </c>
      <c r="I10" s="12" t="inlineStr">
        <is>
          <t>Justificantes</t>
        </is>
      </c>
      <c r="J10" s="12" t="inlineStr">
        <is>
          <t>Pendiente</t>
        </is>
      </c>
      <c r="K10" s="12" t="inlineStr">
        <is>
          <t>Reserva para cierres menores y gaps de caja</t>
        </is>
      </c>
    </row>
    <row r="11">
      <c r="A11" s="19" t="inlineStr">
        <is>
          <t>TOTAL</t>
        </is>
      </c>
      <c r="B11" s="20">
        <f>SUM(B5:B10)</f>
        <v/>
      </c>
      <c r="C11" s="19" t="inlineStr"/>
      <c r="D11" s="20">
        <f>SUM(D5:D10)</f>
        <v/>
      </c>
      <c r="E11" s="20">
        <f>SUM(E5:E10)</f>
        <v/>
      </c>
      <c r="F11" s="19" t="inlineStr"/>
      <c r="G11" s="19" t="inlineStr"/>
      <c r="H11" s="19" t="inlineStr"/>
      <c r="I11" s="19" t="inlineStr"/>
      <c r="J11" s="19" t="inlineStr"/>
      <c r="K11" s="19" t="inlineStr"/>
    </row>
  </sheetData>
  <mergeCells count="2">
    <mergeCell ref="A2:K2"/>
    <mergeCell ref="A1:K1"/>
  </mergeCells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6" customWidth="1" min="3" max="3"/>
    <col width="28" customWidth="1" min="4" max="4"/>
    <col width="10" customWidth="1" min="5" max="5"/>
    <col width="14" customWidth="1" min="6" max="6"/>
    <col width="18" customWidth="1" min="7" max="7"/>
    <col width="12" customWidth="1" min="8" max="8"/>
    <col width="20" customWidth="1" min="9" max="9"/>
    <col width="28" customWidth="1" min="10" max="10"/>
    <col width="24" customWidth="1" min="11" max="11"/>
    <col width="34" customWidth="1" min="12" max="12"/>
  </cols>
  <sheetData>
    <row r="1" ht="30" customHeight="1">
      <c r="A1" s="1" t="inlineStr">
        <is>
          <t>Personal y costes 2026-2027</t>
        </is>
      </c>
    </row>
    <row r="2" ht="22" customHeight="1">
      <c r="A2" s="2" t="inlineStr">
        <is>
          <t>Costes mensuales definidos por dirección + escalado 2027 condicionado a ingresos</t>
        </is>
      </c>
    </row>
    <row r="4" ht="24" customHeight="1">
      <c r="A4" s="10" t="inlineStr">
        <is>
          <t>Perfil</t>
        </is>
      </c>
      <c r="B4" s="10" t="inlineStr">
        <is>
          <t>Rol</t>
        </is>
      </c>
      <c r="C4" s="10" t="inlineStr">
        <is>
          <t>Coste mensual base (€)</t>
        </is>
      </c>
      <c r="D4" s="10" t="inlineStr">
        <is>
          <t>Variable / objetivos</t>
        </is>
      </c>
      <c r="E4" s="10" t="inlineStr">
        <is>
          <t>FTE 2026</t>
        </is>
      </c>
      <c r="F4" s="10" t="inlineStr">
        <is>
          <t>Mes inicio 2026</t>
        </is>
      </c>
      <c r="G4" s="10" t="inlineStr">
        <is>
          <t>Coste jul-dic 2026 (€)</t>
        </is>
      </c>
      <c r="H4" s="10" t="inlineStr">
        <is>
          <t>FTE 2027 base</t>
        </is>
      </c>
      <c r="I4" s="10" t="inlineStr">
        <is>
          <t>Coste anual 2027 base (€)</t>
        </is>
      </c>
      <c r="J4" s="10" t="inlineStr">
        <is>
          <t>Gate crecimiento</t>
        </is>
      </c>
      <c r="K4" s="10" t="inlineStr">
        <is>
          <t>Riesgo cubierto</t>
        </is>
      </c>
      <c r="L4" s="10" t="inlineStr">
        <is>
          <t>Notas</t>
        </is>
      </c>
    </row>
    <row r="5">
      <c r="A5" s="11" t="inlineStr">
        <is>
          <t>Luis</t>
        </is>
      </c>
      <c r="B5" s="11" t="inlineStr">
        <is>
          <t>CEO / producto / operaciones / apoyo software / apoyo marketing / Logistik y Tash</t>
        </is>
      </c>
      <c r="C5" s="7" t="n">
        <v>5000</v>
      </c>
      <c r="D5" s="11" t="inlineStr">
        <is>
          <t>-</t>
        </is>
      </c>
      <c r="E5" s="21" t="n">
        <v>1</v>
      </c>
      <c r="F5" s="11" t="inlineStr">
        <is>
          <t>jul-26</t>
        </is>
      </c>
      <c r="G5" s="22">
        <f>C5*6</f>
        <v/>
      </c>
      <c r="H5" s="21" t="n">
        <v>1</v>
      </c>
      <c r="I5" s="22">
        <f>C5*12</f>
        <v/>
      </c>
      <c r="J5" s="11" t="inlineStr">
        <is>
          <t>Siempre activo</t>
        </is>
      </c>
      <c r="K5" s="11" t="inlineStr">
        <is>
          <t>Dirección integral y continuidad</t>
        </is>
      </c>
      <c r="L5" s="11" t="inlineStr">
        <is>
          <t>Input dirección</t>
        </is>
      </c>
    </row>
    <row r="6">
      <c r="A6" s="12" t="inlineStr">
        <is>
          <t>Ángel</t>
        </is>
      </c>
      <c r="B6" s="12" t="inlineStr">
        <is>
          <t>Finanzas / corporate / negociación Logistik y Tash / gobierno de capital</t>
        </is>
      </c>
      <c r="C6" s="13" t="n">
        <v>3000</v>
      </c>
      <c r="D6" s="12" t="inlineStr">
        <is>
          <t>-</t>
        </is>
      </c>
      <c r="E6" s="23" t="n">
        <v>1</v>
      </c>
      <c r="F6" s="12" t="inlineStr">
        <is>
          <t>jul-26</t>
        </is>
      </c>
      <c r="G6" s="24">
        <f>C6*6</f>
        <v/>
      </c>
      <c r="H6" s="23" t="n">
        <v>1</v>
      </c>
      <c r="I6" s="24">
        <f>C6*12</f>
        <v/>
      </c>
      <c r="J6" s="12" t="inlineStr">
        <is>
          <t>Siempre activo</t>
        </is>
      </c>
      <c r="K6" s="12" t="inlineStr">
        <is>
          <t>Gobierno financiero y corporate</t>
        </is>
      </c>
      <c r="L6" s="12" t="inlineStr">
        <is>
          <t>Input dirección</t>
        </is>
      </c>
    </row>
    <row r="7">
      <c r="A7" s="11" t="inlineStr">
        <is>
          <t>Emilio Torres</t>
        </is>
      </c>
      <c r="B7" s="11" t="inlineStr">
        <is>
          <t>Atención comercial: ayuntamientos, promotoras y constructoras</t>
        </is>
      </c>
      <c r="C7" s="7" t="n">
        <v>1500</v>
      </c>
      <c r="D7" s="11" t="inlineStr">
        <is>
          <t>Objetivos comerciales; definir variable por margen cobrado</t>
        </is>
      </c>
      <c r="E7" s="21" t="n">
        <v>0.8</v>
      </c>
      <c r="F7" s="11" t="inlineStr">
        <is>
          <t>jul-26</t>
        </is>
      </c>
      <c r="G7" s="22">
        <f>C7*6</f>
        <v/>
      </c>
      <c r="H7" s="21" t="n">
        <v>0.8</v>
      </c>
      <c r="I7" s="22">
        <f>C7*12</f>
        <v/>
      </c>
      <c r="J7" s="11" t="inlineStr">
        <is>
          <t>Pipeline comercial medible</t>
        </is>
      </c>
      <c r="K7" s="11" t="inlineStr">
        <is>
          <t>Apertura mercado</t>
        </is>
      </c>
      <c r="L7" s="11" t="inlineStr">
        <is>
          <t>Sin operaciones; fuera de Logistik/Tash</t>
        </is>
      </c>
    </row>
    <row r="8">
      <c r="A8" s="12" t="inlineStr">
        <is>
          <t>Hernán</t>
        </is>
      </c>
      <c r="B8" s="12" t="inlineStr">
        <is>
          <t>CTO / CUEVA OS / arquitectura digital / plataforma</t>
        </is>
      </c>
      <c r="C8" s="13" t="n">
        <v>4000</v>
      </c>
      <c r="D8" s="12" t="inlineStr">
        <is>
          <t>-</t>
        </is>
      </c>
      <c r="E8" s="23" t="n">
        <v>1</v>
      </c>
      <c r="F8" s="12" t="inlineStr">
        <is>
          <t>jul-26</t>
        </is>
      </c>
      <c r="G8" s="24">
        <f>C8*6</f>
        <v/>
      </c>
      <c r="H8" s="23" t="n">
        <v>1</v>
      </c>
      <c r="I8" s="24">
        <f>C8*12</f>
        <v/>
      </c>
      <c r="J8" s="12" t="inlineStr">
        <is>
          <t>Siempre activo</t>
        </is>
      </c>
      <c r="K8" s="12" t="inlineStr">
        <is>
          <t>Producto digital y escalabilidad</t>
        </is>
      </c>
      <c r="L8" s="12" t="inlineStr">
        <is>
          <t>Input dirección</t>
        </is>
      </c>
    </row>
    <row r="9">
      <c r="A9" s="11" t="inlineStr">
        <is>
          <t>Santi</t>
        </is>
      </c>
      <c r="B9" s="11" t="inlineStr">
        <is>
          <t>IT / telecom / cloud / integraciones / soporte técnico</t>
        </is>
      </c>
      <c r="C9" s="7" t="n">
        <v>2000</v>
      </c>
      <c r="D9" s="11" t="inlineStr">
        <is>
          <t>-</t>
        </is>
      </c>
      <c r="E9" s="21" t="n">
        <v>0.8</v>
      </c>
      <c r="F9" s="11" t="inlineStr">
        <is>
          <t>jul-26</t>
        </is>
      </c>
      <c r="G9" s="22">
        <f>C9*6</f>
        <v/>
      </c>
      <c r="H9" s="21" t="n">
        <v>1</v>
      </c>
      <c r="I9" s="22">
        <f>C9*12</f>
        <v/>
      </c>
      <c r="J9" s="11" t="inlineStr">
        <is>
          <t>Activar salida comercial</t>
        </is>
      </c>
      <c r="K9" s="11" t="inlineStr">
        <is>
          <t>Infraestructura y soporte</t>
        </is>
      </c>
      <c r="L9" s="11" t="inlineStr">
        <is>
          <t>Input dirección</t>
        </is>
      </c>
    </row>
    <row r="10">
      <c r="A10" s="12" t="inlineStr">
        <is>
          <t>Jacqueline</t>
        </is>
      </c>
      <c r="B10" s="12" t="inlineStr">
        <is>
          <t>Marketing y comunicación</t>
        </is>
      </c>
      <c r="C10" s="13" t="n">
        <v>1800</v>
      </c>
      <c r="D10" s="12" t="inlineStr">
        <is>
          <t>-</t>
        </is>
      </c>
      <c r="E10" s="23" t="n">
        <v>0.7</v>
      </c>
      <c r="F10" s="12" t="inlineStr">
        <is>
          <t>jul-26</t>
        </is>
      </c>
      <c r="G10" s="24">
        <f>C10*6</f>
        <v/>
      </c>
      <c r="H10" s="23" t="n">
        <v>0.8</v>
      </c>
      <c r="I10" s="24">
        <f>C10*12</f>
        <v/>
      </c>
      <c r="J10" s="12" t="inlineStr">
        <is>
          <t>Salida septiembre 2026</t>
        </is>
      </c>
      <c r="K10" s="12" t="inlineStr">
        <is>
          <t>Narrativa, marca, captación</t>
        </is>
      </c>
      <c r="L10" s="12" t="inlineStr">
        <is>
          <t>Input mantenido</t>
        </is>
      </c>
    </row>
    <row r="11">
      <c r="A11" s="11" t="inlineStr">
        <is>
          <t>Jorge García Peralta</t>
        </is>
      </c>
      <c r="B11" s="11" t="inlineStr">
        <is>
          <t>Obra / apoyo puntual / calidad / remates y soporte técnico</t>
        </is>
      </c>
      <c r="C11" s="7" t="n">
        <v>1800</v>
      </c>
      <c r="D11" s="11" t="inlineStr">
        <is>
          <t>-</t>
        </is>
      </c>
      <c r="E11" s="21" t="n">
        <v>0.5</v>
      </c>
      <c r="F11" s="11" t="inlineStr">
        <is>
          <t>jul-26</t>
        </is>
      </c>
      <c r="G11" s="22">
        <f>C11*6</f>
        <v/>
      </c>
      <c r="H11" s="21" t="n">
        <v>0.6</v>
      </c>
      <c r="I11" s="22">
        <f>C11*12</f>
        <v/>
      </c>
      <c r="J11" s="11" t="inlineStr">
        <is>
          <t>Solo proyectos con margen</t>
        </is>
      </c>
      <c r="K11" s="11" t="inlineStr">
        <is>
          <t>Control obra puntual</t>
        </is>
      </c>
      <c r="L11" s="11" t="inlineStr">
        <is>
          <t>No referente inicial Menorca</t>
        </is>
      </c>
    </row>
    <row r="12">
      <c r="A12" s="12" t="inlineStr">
        <is>
          <t>Técnico POI/DPP campo</t>
        </is>
      </c>
      <c r="B12" s="12" t="inlineStr">
        <is>
          <t>Nuevo perfil 2027: lecturas, instalación, QA campo</t>
        </is>
      </c>
      <c r="C12" s="13" t="n">
        <v>2200</v>
      </c>
      <c r="D12" s="12" t="inlineStr">
        <is>
          <t>-</t>
        </is>
      </c>
      <c r="E12" s="23" t="n">
        <v>0</v>
      </c>
      <c r="F12" s="12" t="inlineStr">
        <is>
          <t>-</t>
        </is>
      </c>
      <c r="G12" s="13" t="n">
        <v>0</v>
      </c>
      <c r="H12" s="23" t="n">
        <v>0.75</v>
      </c>
      <c r="I12" s="24">
        <f>C12*9</f>
        <v/>
      </c>
      <c r="J12" s="12" t="inlineStr">
        <is>
          <t>Primer contrato 2027 firmado</t>
        </is>
      </c>
      <c r="K12" s="12" t="inlineStr">
        <is>
          <t>Capacidad despliegue</t>
        </is>
      </c>
      <c r="L12" s="12" t="inlineStr">
        <is>
          <t>Alta recomendada Q2 2027</t>
        </is>
      </c>
    </row>
    <row r="13">
      <c r="A13" s="11" t="inlineStr">
        <is>
          <t>DevOps / Backend junior</t>
        </is>
      </c>
      <c r="B13" s="11" t="inlineStr">
        <is>
          <t>Nuevo perfil 2027: soporte Hernán/Santi, APIs, datos</t>
        </is>
      </c>
      <c r="C13" s="7" t="n">
        <v>2600</v>
      </c>
      <c r="D13" s="11" t="inlineStr">
        <is>
          <t>-</t>
        </is>
      </c>
      <c r="E13" s="21" t="n">
        <v>0</v>
      </c>
      <c r="F13" s="11" t="inlineStr">
        <is>
          <t>-</t>
        </is>
      </c>
      <c r="G13" s="7" t="n">
        <v>0</v>
      </c>
      <c r="H13" s="21" t="n">
        <v>0.58</v>
      </c>
      <c r="I13" s="22">
        <f>C13*7</f>
        <v/>
      </c>
      <c r="J13" s="11" t="inlineStr">
        <is>
          <t>Ingresos software/Logistik/KIWA</t>
        </is>
      </c>
      <c r="K13" s="11" t="inlineStr">
        <is>
          <t>Velocidad producto</t>
        </is>
      </c>
      <c r="L13" s="11" t="inlineStr">
        <is>
          <t>Alta condicionada Q2-Q3</t>
        </is>
      </c>
    </row>
    <row r="14">
      <c r="A14" s="12" t="inlineStr">
        <is>
          <t>Customer Success / PMO</t>
        </is>
      </c>
      <c r="B14" s="12" t="inlineStr">
        <is>
          <t>Nuevo perfil 2027: implantación clientes, documentación, seguimiento</t>
        </is>
      </c>
      <c r="C14" s="13" t="n">
        <v>2500</v>
      </c>
      <c r="D14" s="12" t="inlineStr">
        <is>
          <t>-</t>
        </is>
      </c>
      <c r="E14" s="23" t="n">
        <v>0</v>
      </c>
      <c r="F14" s="12" t="inlineStr">
        <is>
          <t>-</t>
        </is>
      </c>
      <c r="G14" s="13" t="n">
        <v>0</v>
      </c>
      <c r="H14" s="23" t="n">
        <v>0.5</v>
      </c>
      <c r="I14" s="24">
        <f>C14*6</f>
        <v/>
      </c>
      <c r="J14" s="12" t="inlineStr">
        <is>
          <t>Pipeline &gt; 750k firmado</t>
        </is>
      </c>
      <c r="K14" s="12" t="inlineStr">
        <is>
          <t>Calidad implantación</t>
        </is>
      </c>
      <c r="L14" s="12" t="inlineStr">
        <is>
          <t>Alta condicionada H2</t>
        </is>
      </c>
    </row>
    <row r="15">
      <c r="A15" s="16" t="inlineStr">
        <is>
          <t>TOTAL</t>
        </is>
      </c>
      <c r="B15" s="16" t="inlineStr"/>
      <c r="C15" s="17" t="inlineStr"/>
      <c r="D15" s="16" t="inlineStr"/>
      <c r="E15" s="16" t="inlineStr"/>
      <c r="F15" s="16" t="inlineStr"/>
      <c r="G15" s="17">
        <f>SUM(G5:G14)</f>
        <v/>
      </c>
      <c r="H15" s="16" t="inlineStr"/>
      <c r="I15" s="17">
        <f>SUM(I5:I14)</f>
        <v/>
      </c>
      <c r="J15" s="16" t="inlineStr"/>
      <c r="K15" s="16" t="inlineStr"/>
      <c r="L15" s="16" t="inlineStr"/>
    </row>
  </sheetData>
  <mergeCells count="2">
    <mergeCell ref="A2:L2"/>
    <mergeCell ref="A1:L1"/>
  </mergeCells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16" customWidth="1" min="4" max="4"/>
    <col width="16" customWidth="1" min="5" max="5"/>
    <col width="20" customWidth="1" min="6" max="6"/>
    <col width="18" customWidth="1" min="7" max="7"/>
    <col width="24" customWidth="1" min="8" max="8"/>
    <col width="14" customWidth="1" min="9" max="9"/>
    <col width="48" customWidth="1" min="10" max="10"/>
  </cols>
  <sheetData>
    <row r="1" ht="30" customHeight="1">
      <c r="A1" s="1" t="inlineStr">
        <is>
          <t>Seguridad Social, coste empresa y provisiones</t>
        </is>
      </c>
    </row>
    <row r="2" ht="22" customHeight="1">
      <c r="A2" s="2" t="inlineStr">
        <is>
          <t>Separación de coste profesional base y provisiones. Ajustar según modalidad contractual real.</t>
        </is>
      </c>
    </row>
    <row r="4" ht="24" customHeight="1">
      <c r="A4" s="10" t="inlineStr">
        <is>
          <t>Concepto</t>
        </is>
      </c>
      <c r="B4" s="10" t="inlineStr">
        <is>
          <t>Base cálculo</t>
        </is>
      </c>
      <c r="C4" s="10" t="inlineStr">
        <is>
          <t>Tipo / criterio</t>
        </is>
      </c>
      <c r="D4" s="10" t="inlineStr">
        <is>
          <t>Importe 2026 (€)</t>
        </is>
      </c>
      <c r="E4" s="10" t="inlineStr">
        <is>
          <t>Importe 2027 (€)</t>
        </is>
      </c>
      <c r="F4" s="10" t="inlineStr">
        <is>
          <t>Naturaleza</t>
        </is>
      </c>
      <c r="G4" s="10" t="inlineStr">
        <is>
          <t>Responsable</t>
        </is>
      </c>
      <c r="H4" s="10" t="inlineStr">
        <is>
          <t>Validación</t>
        </is>
      </c>
      <c r="I4" s="10" t="inlineStr">
        <is>
          <t>Estado</t>
        </is>
      </c>
      <c r="J4" s="10" t="inlineStr">
        <is>
          <t>Notas</t>
        </is>
      </c>
    </row>
    <row r="5">
      <c r="A5" s="11" t="inlineStr">
        <is>
          <t>Equipo base 2026</t>
        </is>
      </c>
      <c r="B5" s="11" t="inlineStr">
        <is>
          <t>05_Personal!G15</t>
        </is>
      </c>
      <c r="C5" s="11" t="inlineStr">
        <is>
          <t>Coste profesional base</t>
        </is>
      </c>
      <c r="D5" s="25">
        <f>'05_Personal'!G15</f>
        <v/>
      </c>
      <c r="E5" s="25">
        <f>'05_Personal'!I15</f>
        <v/>
      </c>
      <c r="F5" s="11" t="inlineStr">
        <is>
          <t>Input/Formula</t>
        </is>
      </c>
      <c r="G5" s="11" t="inlineStr">
        <is>
          <t>Finanzas</t>
        </is>
      </c>
      <c r="H5" s="11" t="inlineStr">
        <is>
          <t>Contratos/facturas</t>
        </is>
      </c>
      <c r="I5" s="11" t="inlineStr">
        <is>
          <t>Pendiente</t>
        </is>
      </c>
      <c r="J5" s="11" t="inlineStr">
        <is>
          <t>No incluye necesariamente SS si son autónomos/proveedores</t>
        </is>
      </c>
    </row>
    <row r="6">
      <c r="A6" s="12" t="inlineStr">
        <is>
          <t>Provisión SS/gestoría 2026</t>
        </is>
      </c>
      <c r="B6" s="12" t="inlineStr">
        <is>
          <t>Uso fondos</t>
        </is>
      </c>
      <c r="C6" s="12" t="inlineStr">
        <is>
          <t>Bolsa específica</t>
        </is>
      </c>
      <c r="D6" s="13" t="n">
        <v>18000</v>
      </c>
      <c r="E6" s="26" t="inlineStr"/>
      <c r="F6" s="12" t="inlineStr">
        <is>
          <t>Supuesto operativo</t>
        </is>
      </c>
      <c r="G6" s="12" t="inlineStr">
        <is>
          <t>Finanzas</t>
        </is>
      </c>
      <c r="H6" s="12" t="inlineStr">
        <is>
          <t>Gestoría</t>
        </is>
      </c>
      <c r="I6" s="12" t="inlineStr">
        <is>
          <t>Pendiente</t>
        </is>
      </c>
      <c r="J6" s="12" t="inlineStr">
        <is>
          <t>Dentro de los 300k</t>
        </is>
      </c>
    </row>
    <row r="7">
      <c r="A7" s="11" t="inlineStr">
        <is>
          <t>Provisión coste empresa 2027</t>
        </is>
      </c>
      <c r="B7" s="11" t="inlineStr">
        <is>
          <t>Equipo base + hires</t>
        </is>
      </c>
      <c r="C7" s="11" t="inlineStr">
        <is>
          <t>31% sobre perfiles laborales estimados</t>
        </is>
      </c>
      <c r="D7" s="27" t="inlineStr"/>
      <c r="E7" s="25">
        <f>ROUND('05_Personal'!I15*31%,0)</f>
        <v/>
      </c>
      <c r="F7" s="11" t="inlineStr">
        <is>
          <t>Supuesto operativo</t>
        </is>
      </c>
      <c r="G7" s="11" t="inlineStr">
        <is>
          <t>Finanzas</t>
        </is>
      </c>
      <c r="H7" s="11" t="inlineStr">
        <is>
          <t>Modelo laboral</t>
        </is>
      </c>
      <c r="I7" s="11" t="inlineStr">
        <is>
          <t>Pendiente</t>
        </is>
      </c>
      <c r="J7" s="11" t="inlineStr">
        <is>
          <t>Solo aplica a perfiles en nómina; ajustar al mix real</t>
        </is>
      </c>
    </row>
    <row r="8">
      <c r="A8" s="12" t="inlineStr">
        <is>
          <t>Gestoría / compliance laboral</t>
        </is>
      </c>
      <c r="B8" s="12" t="inlineStr">
        <is>
          <t>Mensual</t>
        </is>
      </c>
      <c r="C8" s="12" t="inlineStr">
        <is>
          <t>500 €/mes 2027</t>
        </is>
      </c>
      <c r="D8" s="26" t="inlineStr"/>
      <c r="E8" s="13" t="n">
        <v>6000</v>
      </c>
      <c r="F8" s="12" t="inlineStr">
        <is>
          <t>Supuesto operativo</t>
        </is>
      </c>
      <c r="G8" s="12" t="inlineStr">
        <is>
          <t>Finanzas</t>
        </is>
      </c>
      <c r="H8" s="12" t="inlineStr">
        <is>
          <t>Presupuesto gestoría</t>
        </is>
      </c>
      <c r="I8" s="12" t="inlineStr">
        <is>
          <t>Pendiente</t>
        </is>
      </c>
      <c r="J8" s="12" t="inlineStr">
        <is>
          <t>Puede integrarse en G&amp;A</t>
        </is>
      </c>
    </row>
    <row r="9">
      <c r="A9" s="11" t="inlineStr">
        <is>
          <t>Variable Emilio objetivos</t>
        </is>
      </c>
      <c r="B9" s="11" t="inlineStr">
        <is>
          <t>Margen cobrado</t>
        </is>
      </c>
      <c r="C9" s="11" t="inlineStr">
        <is>
          <t>Cap anual indicativo</t>
        </is>
      </c>
      <c r="D9" s="7" t="n">
        <v>0</v>
      </c>
      <c r="E9" s="7" t="n">
        <v>24000</v>
      </c>
      <c r="F9" s="11" t="inlineStr">
        <is>
          <t>Hipótesis objetivo</t>
        </is>
      </c>
      <c r="G9" s="11" t="inlineStr">
        <is>
          <t>Dirección</t>
        </is>
      </c>
      <c r="H9" s="11" t="inlineStr">
        <is>
          <t>Plan comercial</t>
        </is>
      </c>
      <c r="I9" s="11" t="inlineStr">
        <is>
          <t>Pendiente</t>
        </is>
      </c>
      <c r="J9" s="11" t="inlineStr">
        <is>
          <t>Definir por margen y cobro real; no devengar sin caja</t>
        </is>
      </c>
    </row>
    <row r="10">
      <c r="A10" s="19" t="inlineStr">
        <is>
          <t>TOTAL provisiones 2026/2027</t>
        </is>
      </c>
      <c r="B10" s="19" t="inlineStr"/>
      <c r="C10" s="19" t="inlineStr"/>
      <c r="D10" s="20">
        <f>SUM(D5:D9)</f>
        <v/>
      </c>
      <c r="E10" s="20">
        <f>SUM(E5:E9)</f>
        <v/>
      </c>
      <c r="F10" s="19" t="inlineStr"/>
      <c r="G10" s="19" t="inlineStr"/>
      <c r="H10" s="19" t="inlineStr"/>
      <c r="I10" s="19" t="inlineStr"/>
      <c r="J10" s="19" t="inlineStr"/>
    </row>
  </sheetData>
  <mergeCells count="2">
    <mergeCell ref="A1:J1"/>
    <mergeCell ref="A2:J2"/>
  </mergeCells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32" customWidth="1" min="4" max="4"/>
    <col width="34" customWidth="1" min="5" max="5"/>
    <col width="28" customWidth="1" min="6" max="6"/>
    <col width="26" customWidth="1" min="7" max="7"/>
    <col width="24" customWidth="1" min="8" max="8"/>
    <col width="22" customWidth="1" min="9" max="9"/>
    <col width="14" customWidth="1" min="10" max="10"/>
    <col width="30" customWidth="1" min="11" max="11"/>
  </cols>
  <sheetData>
    <row r="1" ht="30" customHeight="1">
      <c r="A1" s="1" t="inlineStr">
        <is>
          <t>Equipos / workstreams</t>
        </is>
      </c>
    </row>
    <row r="2" ht="22" customHeight="1">
      <c r="A2" s="2" t="inlineStr">
        <is>
          <t>Responsables, entregables, KPIs y dependencias</t>
        </is>
      </c>
    </row>
    <row r="4" ht="24" customHeight="1">
      <c r="A4" s="10" t="inlineStr">
        <is>
          <t>Workstream</t>
        </is>
      </c>
      <c r="B4" s="10" t="inlineStr">
        <is>
          <t>Responsable principal</t>
        </is>
      </c>
      <c r="C4" s="10" t="inlineStr">
        <is>
          <t>Equipo soporte</t>
        </is>
      </c>
      <c r="D4" s="10" t="inlineStr">
        <is>
          <t>Objetivo 2026</t>
        </is>
      </c>
      <c r="E4" s="10" t="inlineStr">
        <is>
          <t>Objetivo 2027</t>
        </is>
      </c>
      <c r="F4" s="10" t="inlineStr">
        <is>
          <t>KPIs</t>
        </is>
      </c>
      <c r="G4" s="10" t="inlineStr">
        <is>
          <t>Dependencias</t>
        </is>
      </c>
      <c r="H4" s="10" t="inlineStr">
        <is>
          <t>Riesgo</t>
        </is>
      </c>
      <c r="I4" s="10" t="inlineStr">
        <is>
          <t>Gate</t>
        </is>
      </c>
      <c r="J4" s="10" t="inlineStr">
        <is>
          <t>Estado</t>
        </is>
      </c>
      <c r="K4" s="10" t="inlineStr">
        <is>
          <t>Notas</t>
        </is>
      </c>
    </row>
    <row r="5">
      <c r="A5" s="11" t="inlineStr">
        <is>
          <t>Dirección / Gobierno</t>
        </is>
      </c>
      <c r="B5" s="11" t="inlineStr">
        <is>
          <t>Luis + Ángel</t>
        </is>
      </c>
      <c r="C5" s="11" t="inlineStr">
        <is>
          <t>Hernán / finanzas</t>
        </is>
      </c>
      <c r="D5" s="11" t="inlineStr">
        <is>
          <t>Cerrar BP 300k, deuda y gates</t>
        </is>
      </c>
      <c r="E5" s="11" t="inlineStr">
        <is>
          <t>Gobierno por KPIs y caja mensual</t>
        </is>
      </c>
      <c r="F5" s="11" t="inlineStr">
        <is>
          <t>Caja, acuerdos, hitos</t>
        </is>
      </c>
      <c r="G5" s="11" t="inlineStr">
        <is>
          <t>Capital 300k</t>
        </is>
      </c>
      <c r="H5" s="11" t="inlineStr">
        <is>
          <t>Dispersión</t>
        </is>
      </c>
      <c r="I5" s="11" t="inlineStr">
        <is>
          <t>Comité mensual</t>
        </is>
      </c>
      <c r="J5" s="11" t="inlineStr">
        <is>
          <t>Activo</t>
        </is>
      </c>
      <c r="K5" s="11" t="inlineStr"/>
    </row>
    <row r="6">
      <c r="A6" s="12" t="inlineStr">
        <is>
          <t>Producto CUEVA OS</t>
        </is>
      </c>
      <c r="B6" s="12" t="inlineStr">
        <is>
          <t>Hernán</t>
        </is>
      </c>
      <c r="C6" s="12" t="inlineStr">
        <is>
          <t>Santi / Luis</t>
        </is>
      </c>
      <c r="D6" s="12" t="inlineStr">
        <is>
          <t>Entrega comercial septiembre</t>
        </is>
      </c>
      <c r="E6" s="12" t="inlineStr">
        <is>
          <t>Escalado multi-cliente y KIWA/Logistik</t>
        </is>
      </c>
      <c r="F6" s="12" t="inlineStr">
        <is>
          <t>Uptime, demos, módulos</t>
        </is>
      </c>
      <c r="G6" s="12" t="inlineStr">
        <is>
          <t>Infra SW/HW</t>
        </is>
      </c>
      <c r="H6" s="12" t="inlineStr">
        <is>
          <t>Sobredesarrollo</t>
        </is>
      </c>
      <c r="I6" s="12" t="inlineStr">
        <is>
          <t>Release mensual</t>
        </is>
      </c>
      <c r="J6" s="12" t="inlineStr">
        <is>
          <t>Activo</t>
        </is>
      </c>
      <c r="K6" s="12" t="inlineStr"/>
    </row>
    <row r="7">
      <c r="A7" s="11" t="inlineStr">
        <is>
          <t>Infra IT / Telecom</t>
        </is>
      </c>
      <c r="B7" s="11" t="inlineStr">
        <is>
          <t>Santi</t>
        </is>
      </c>
      <c r="C7" s="11" t="inlineStr">
        <is>
          <t>Hernán</t>
        </is>
      </c>
      <c r="D7" s="11" t="inlineStr">
        <is>
          <t>Stack cloud, telecom, seguridad, devices</t>
        </is>
      </c>
      <c r="E7" s="11" t="inlineStr">
        <is>
          <t>Operación cliente y campo</t>
        </is>
      </c>
      <c r="F7" s="11" t="inlineStr">
        <is>
          <t>Disponibilidad, lecturas, incidencias</t>
        </is>
      </c>
      <c r="G7" s="11" t="inlineStr">
        <is>
          <t>Licencias y hardware</t>
        </is>
      </c>
      <c r="H7" s="11" t="inlineStr">
        <is>
          <t>Fragilidad técnica</t>
        </is>
      </c>
      <c r="I7" s="11" t="inlineStr">
        <is>
          <t>Checklist salida</t>
        </is>
      </c>
      <c r="J7" s="11" t="inlineStr">
        <is>
          <t>Activo</t>
        </is>
      </c>
      <c r="K7" s="11" t="inlineStr"/>
    </row>
    <row r="8">
      <c r="A8" s="12" t="inlineStr">
        <is>
          <t>Marketing / Go-to-market</t>
        </is>
      </c>
      <c r="B8" s="12" t="inlineStr">
        <is>
          <t>Jacqueline</t>
        </is>
      </c>
      <c r="C8" s="12" t="inlineStr">
        <is>
          <t>Luis</t>
        </is>
      </c>
      <c r="D8" s="12" t="inlineStr">
        <is>
          <t>Web, deck, casos, contenido</t>
        </is>
      </c>
      <c r="E8" s="12" t="inlineStr">
        <is>
          <t>Captación recurrente y PR</t>
        </is>
      </c>
      <c r="F8" s="12" t="inlineStr">
        <is>
          <t>Leads, reuniones, conversión</t>
        </is>
      </c>
      <c r="G8" s="12" t="inlineStr">
        <is>
          <t>Casos y demos</t>
        </is>
      </c>
      <c r="H8" s="12" t="inlineStr">
        <is>
          <t>Mensaje débil</t>
        </is>
      </c>
      <c r="I8" s="12" t="inlineStr">
        <is>
          <t>Salida sept-26</t>
        </is>
      </c>
      <c r="J8" s="12" t="inlineStr">
        <is>
          <t>Activo</t>
        </is>
      </c>
      <c r="K8" s="12" t="inlineStr"/>
    </row>
    <row r="9">
      <c r="A9" s="11" t="inlineStr">
        <is>
          <t>Comercial institucional</t>
        </is>
      </c>
      <c r="B9" s="11" t="inlineStr">
        <is>
          <t>Emilio Torres</t>
        </is>
      </c>
      <c r="C9" s="11" t="inlineStr">
        <is>
          <t>Luis</t>
        </is>
      </c>
      <c r="D9" s="11" t="inlineStr">
        <is>
          <t>Ayuntamientos/promotoras/constructoras</t>
        </is>
      </c>
      <c r="E9" s="11" t="inlineStr">
        <is>
          <t>Pipeline territorial</t>
        </is>
      </c>
      <c r="F9" s="11" t="inlineStr">
        <is>
          <t>Reuniones, LOI, ofertas</t>
        </is>
      </c>
      <c r="G9" s="11" t="inlineStr">
        <is>
          <t>Material comercial</t>
        </is>
      </c>
      <c r="H9" s="11" t="inlineStr">
        <is>
          <t>Foco insuficiente</t>
        </is>
      </c>
      <c r="I9" s="11" t="inlineStr">
        <is>
          <t>CRM semanal</t>
        </is>
      </c>
      <c r="J9" s="11" t="inlineStr">
        <is>
          <t>Activo</t>
        </is>
      </c>
      <c r="K9" s="11" t="inlineStr">
        <is>
          <t>No operaciones</t>
        </is>
      </c>
    </row>
    <row r="10">
      <c r="A10" s="12" t="inlineStr">
        <is>
          <t>Logistik / Tash</t>
        </is>
      </c>
      <c r="B10" s="12" t="inlineStr">
        <is>
          <t>Luis + Ángel</t>
        </is>
      </c>
      <c r="C10" s="12" t="inlineStr">
        <is>
          <t>Hernán si demo</t>
        </is>
      </c>
      <c r="D10" s="12" t="inlineStr">
        <is>
          <t>Negociación cliente/socio y pipeline</t>
        </is>
      </c>
      <c r="E10" s="12" t="inlineStr">
        <is>
          <t>Implementación y nuevos proyectos</t>
        </is>
      </c>
      <c r="F10" s="12" t="inlineStr">
        <is>
          <t>LOI, contrato, ingreso</t>
        </is>
      </c>
      <c r="G10" s="12" t="inlineStr">
        <is>
          <t>Producto y deuda al día</t>
        </is>
      </c>
      <c r="H10" s="12" t="inlineStr">
        <is>
          <t>Bloqueo societario</t>
        </is>
      </c>
      <c r="I10" s="12" t="inlineStr">
        <is>
          <t>Separar cliente/socio</t>
        </is>
      </c>
      <c r="J10" s="12" t="inlineStr">
        <is>
          <t>Activo</t>
        </is>
      </c>
      <c r="K10" s="12" t="inlineStr">
        <is>
          <t>Emilio fuera</t>
        </is>
      </c>
    </row>
    <row r="11">
      <c r="A11" s="11" t="inlineStr">
        <is>
          <t>Hub OADAC Menorca</t>
        </is>
      </c>
      <c r="B11" s="11" t="inlineStr">
        <is>
          <t>Luis / Valeriano / Medhi</t>
        </is>
      </c>
      <c r="C11" s="11" t="inlineStr">
        <is>
          <t>Jacqueline / Santi</t>
        </is>
      </c>
      <c r="D11" s="11" t="inlineStr">
        <is>
          <t>Fase 0-1, showroom mínimo</t>
        </is>
      </c>
      <c r="E11" s="11" t="inlineStr">
        <is>
          <t>Nodo productivo y comercial</t>
        </is>
      </c>
      <c r="F11" s="11" t="inlineStr">
        <is>
          <t>Capacidad, proyectos, visitas</t>
        </is>
      </c>
      <c r="G11" s="11" t="inlineStr">
        <is>
          <t>Acuerdo Valeriano</t>
        </is>
      </c>
      <c r="H11" s="11" t="inlineStr">
        <is>
          <t>Sobrecoste</t>
        </is>
      </c>
      <c r="I11" s="11" t="inlineStr">
        <is>
          <t>Capex por fases</t>
        </is>
      </c>
      <c r="J11" s="11" t="inlineStr">
        <is>
          <t>Activo</t>
        </is>
      </c>
      <c r="K11" s="11" t="inlineStr">
        <is>
          <t>Medhi personal</t>
        </is>
      </c>
    </row>
    <row r="12">
      <c r="A12" s="12" t="inlineStr">
        <is>
          <t>Calidad obra / POI</t>
        </is>
      </c>
      <c r="B12" s="12" t="inlineStr">
        <is>
          <t>Jorge apoyo puntual</t>
        </is>
      </c>
      <c r="C12" s="12" t="inlineStr">
        <is>
          <t>Medhi / Santi</t>
        </is>
      </c>
      <c r="D12" s="12" t="inlineStr">
        <is>
          <t>Piedrahita y documentación</t>
        </is>
      </c>
      <c r="E12" s="12" t="inlineStr">
        <is>
          <t>Estandarizar POI/DPP en obras</t>
        </is>
      </c>
      <c r="F12" s="12" t="inlineStr">
        <is>
          <t>No conformidades, lecturas</t>
        </is>
      </c>
      <c r="G12" s="12" t="inlineStr">
        <is>
          <t>Equipo campo</t>
        </is>
      </c>
      <c r="H12" s="12" t="inlineStr">
        <is>
          <t>Descontrol obra</t>
        </is>
      </c>
      <c r="I12" s="12" t="inlineStr">
        <is>
          <t>Plantillas QA</t>
        </is>
      </c>
      <c r="J12" s="12" t="inlineStr">
        <is>
          <t>Activo</t>
        </is>
      </c>
      <c r="K12" s="12" t="inlineStr"/>
    </row>
  </sheetData>
  <mergeCells count="2">
    <mergeCell ref="A2:K2"/>
    <mergeCell ref="A1:K1"/>
  </mergeCells>
  <pageMargins left="0.25" right="0.2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0" customWidth="1" min="3" max="3"/>
    <col width="16" customWidth="1" min="4" max="4"/>
    <col width="16" customWidth="1" min="5" max="5"/>
    <col width="14" customWidth="1" min="6" max="6"/>
    <col width="26" customWidth="1" min="7" max="7"/>
    <col width="18" customWidth="1" min="8" max="8"/>
    <col width="14" customWidth="1" min="9" max="9"/>
    <col width="16" customWidth="1" min="10" max="10"/>
    <col width="22" customWidth="1" min="11" max="11"/>
    <col width="38" customWidth="1" min="12" max="12"/>
  </cols>
  <sheetData>
    <row r="1" ht="30" customHeight="1">
      <c r="A1" s="1" t="inlineStr">
        <is>
          <t>Infraestructura Software / Hardware / Telecomunicaciones</t>
        </is>
      </c>
    </row>
    <row r="2" ht="22" customHeight="1">
      <c r="A2" s="2" t="inlineStr">
        <is>
          <t>Partida reforzada para producto, demos comerciales, campo, DPP/POI, cloud y seguridad</t>
        </is>
      </c>
    </row>
    <row r="4" ht="24" customHeight="1">
      <c r="A4" s="10" t="inlineStr">
        <is>
          <t>Bloque</t>
        </is>
      </c>
      <c r="B4" s="10" t="inlineStr">
        <is>
          <t>Elemento</t>
        </is>
      </c>
      <c r="C4" s="10" t="inlineStr">
        <is>
          <t>Unidades</t>
        </is>
      </c>
      <c r="D4" s="10" t="inlineStr">
        <is>
          <t>Coste unitario (€)</t>
        </is>
      </c>
      <c r="E4" s="10" t="inlineStr">
        <is>
          <t>Coste total (€)</t>
        </is>
      </c>
      <c r="F4" s="10" t="inlineStr">
        <is>
          <t>Tipo</t>
        </is>
      </c>
      <c r="G4" s="10" t="inlineStr">
        <is>
          <t>Proyecto asociado</t>
        </is>
      </c>
      <c r="H4" s="10" t="inlineStr">
        <is>
          <t>Responsable</t>
        </is>
      </c>
      <c r="I4" s="10" t="inlineStr">
        <is>
          <t>Prioridad</t>
        </is>
      </c>
      <c r="J4" s="10" t="inlineStr">
        <is>
          <t>Mes compra</t>
        </is>
      </c>
      <c r="K4" s="10" t="inlineStr">
        <is>
          <t>Evidencia</t>
        </is>
      </c>
      <c r="L4" s="10" t="inlineStr">
        <is>
          <t>Notas</t>
        </is>
      </c>
    </row>
    <row r="5">
      <c r="A5" s="11" t="inlineStr">
        <is>
          <t>Hardware equipo</t>
        </is>
      </c>
      <c r="B5" s="11" t="inlineStr">
        <is>
          <t>Portátiles workstation / desarrollo</t>
        </is>
      </c>
      <c r="C5" s="28" t="n">
        <v>4</v>
      </c>
      <c r="D5" s="7" t="n">
        <v>1400</v>
      </c>
      <c r="E5" s="22">
        <f>C5*D5</f>
        <v/>
      </c>
      <c r="F5" s="11" t="inlineStr">
        <is>
          <t>CAPEX</t>
        </is>
      </c>
      <c r="G5" s="11" t="inlineStr">
        <is>
          <t>Producto / software</t>
        </is>
      </c>
      <c r="H5" s="11" t="inlineStr">
        <is>
          <t>Santi</t>
        </is>
      </c>
      <c r="I5" s="11" t="inlineStr">
        <is>
          <t>Alta</t>
        </is>
      </c>
      <c r="J5" s="11" t="inlineStr">
        <is>
          <t>Jul-26</t>
        </is>
      </c>
      <c r="K5" s="11" t="inlineStr">
        <is>
          <t>Factura/proforma</t>
        </is>
      </c>
      <c r="L5" s="11" t="inlineStr">
        <is>
          <t>Equipo desarrollo y demos</t>
        </is>
      </c>
    </row>
    <row r="6">
      <c r="A6" s="12" t="inlineStr">
        <is>
          <t>Hardware campo</t>
        </is>
      </c>
      <c r="B6" s="12" t="inlineStr">
        <is>
          <t>Tablets/móviles rugged para POI</t>
        </is>
      </c>
      <c r="C6" s="29" t="n">
        <v>5</v>
      </c>
      <c r="D6" s="13" t="n">
        <v>650</v>
      </c>
      <c r="E6" s="24">
        <f>C6*D6</f>
        <v/>
      </c>
      <c r="F6" s="12" t="inlineStr">
        <is>
          <t>CAPEX</t>
        </is>
      </c>
      <c r="G6" s="12" t="inlineStr">
        <is>
          <t>Piedrahita / Menorca / demos</t>
        </is>
      </c>
      <c r="H6" s="12" t="inlineStr">
        <is>
          <t>Santi</t>
        </is>
      </c>
      <c r="I6" s="12" t="inlineStr">
        <is>
          <t>Alta</t>
        </is>
      </c>
      <c r="J6" s="12" t="inlineStr">
        <is>
          <t>Jul-26</t>
        </is>
      </c>
      <c r="K6" s="12" t="inlineStr">
        <is>
          <t>Factura/proforma</t>
        </is>
      </c>
      <c r="L6" s="12" t="inlineStr">
        <is>
          <t>Lecturas y checklists campo</t>
        </is>
      </c>
    </row>
    <row r="7">
      <c r="A7" s="11" t="inlineStr">
        <is>
          <t>Trazabilidad</t>
        </is>
      </c>
      <c r="B7" s="11" t="inlineStr">
        <is>
          <t>Lectores RFID/NFC/BLE / URA4/R1</t>
        </is>
      </c>
      <c r="C7" s="28" t="n">
        <v>5</v>
      </c>
      <c r="D7" s="7" t="n">
        <v>2500</v>
      </c>
      <c r="E7" s="22">
        <f>C7*D7</f>
        <v/>
      </c>
      <c r="F7" s="11" t="inlineStr">
        <is>
          <t>CAPEX</t>
        </is>
      </c>
      <c r="G7" s="11" t="inlineStr">
        <is>
          <t>DPP/POI / Menorca / Logistik</t>
        </is>
      </c>
      <c r="H7" s="11" t="inlineStr">
        <is>
          <t>Hernán/Santi</t>
        </is>
      </c>
      <c r="I7" s="11" t="inlineStr">
        <is>
          <t>Muy alta</t>
        </is>
      </c>
      <c r="J7" s="11" t="inlineStr">
        <is>
          <t>Ago-26</t>
        </is>
      </c>
      <c r="K7" s="11" t="inlineStr">
        <is>
          <t>Factura/proforma</t>
        </is>
      </c>
      <c r="L7" s="11" t="inlineStr">
        <is>
          <t>Kit validación y demo industrial</t>
        </is>
      </c>
    </row>
    <row r="8">
      <c r="A8" s="12" t="inlineStr">
        <is>
          <t>Trazabilidad</t>
        </is>
      </c>
      <c r="B8" s="12" t="inlineStr">
        <is>
          <t>Chips/tags/prototipos de campo</t>
        </is>
      </c>
      <c r="C8" s="29" t="n">
        <v>1</v>
      </c>
      <c r="D8" s="13" t="n">
        <v>6000</v>
      </c>
      <c r="E8" s="24">
        <f>C8*D8</f>
        <v/>
      </c>
      <c r="F8" s="12" t="inlineStr">
        <is>
          <t>OPEX/CAPEX</t>
        </is>
      </c>
      <c r="G8" s="12" t="inlineStr">
        <is>
          <t>DPP/POI / demos</t>
        </is>
      </c>
      <c r="H8" s="12" t="inlineStr">
        <is>
          <t>Santi</t>
        </is>
      </c>
      <c r="I8" s="12" t="inlineStr">
        <is>
          <t>Alta</t>
        </is>
      </c>
      <c r="J8" s="12" t="inlineStr">
        <is>
          <t>Ago-26</t>
        </is>
      </c>
      <c r="K8" s="12" t="inlineStr">
        <is>
          <t>Factura/proforma</t>
        </is>
      </c>
      <c r="L8" s="12" t="inlineStr">
        <is>
          <t>Bolsa inicial de etiquetas y consumibles</t>
        </is>
      </c>
    </row>
    <row r="9">
      <c r="A9" s="11" t="inlineStr">
        <is>
          <t>Telecom</t>
        </is>
      </c>
      <c r="B9" s="11" t="inlineStr">
        <is>
          <t>Routers 5G industriales + SIMs</t>
        </is>
      </c>
      <c r="C9" s="28" t="n">
        <v>6</v>
      </c>
      <c r="D9" s="7" t="n">
        <v>750</v>
      </c>
      <c r="E9" s="22">
        <f>C9*D9</f>
        <v/>
      </c>
      <c r="F9" s="11" t="inlineStr">
        <is>
          <t>CAPEX/OPEX</t>
        </is>
      </c>
      <c r="G9" s="11" t="inlineStr">
        <is>
          <t>Hub / obras / demos</t>
        </is>
      </c>
      <c r="H9" s="11" t="inlineStr">
        <is>
          <t>Santi</t>
        </is>
      </c>
      <c r="I9" s="11" t="inlineStr">
        <is>
          <t>Muy alta</t>
        </is>
      </c>
      <c r="J9" s="11" t="inlineStr">
        <is>
          <t>Ago-26</t>
        </is>
      </c>
      <c r="K9" s="11" t="inlineStr">
        <is>
          <t>Factura/proforma</t>
        </is>
      </c>
      <c r="L9" s="11" t="inlineStr">
        <is>
          <t>Conectividad campo y redundancia</t>
        </is>
      </c>
    </row>
    <row r="10">
      <c r="A10" s="12" t="inlineStr">
        <is>
          <t>Telecom</t>
        </is>
      </c>
      <c r="B10" s="12" t="inlineStr">
        <is>
          <t>Edge gateways / mini servidores</t>
        </is>
      </c>
      <c r="C10" s="29" t="n">
        <v>4</v>
      </c>
      <c r="D10" s="13" t="n">
        <v>950</v>
      </c>
      <c r="E10" s="24">
        <f>C10*D10</f>
        <v/>
      </c>
      <c r="F10" s="12" t="inlineStr">
        <is>
          <t>CAPEX</t>
        </is>
      </c>
      <c r="G10" s="12" t="inlineStr">
        <is>
          <t>Hub / Logistik / KIWA</t>
        </is>
      </c>
      <c r="H10" s="12" t="inlineStr">
        <is>
          <t>Santi</t>
        </is>
      </c>
      <c r="I10" s="12" t="inlineStr">
        <is>
          <t>Alta</t>
        </is>
      </c>
      <c r="J10" s="12" t="inlineStr">
        <is>
          <t>Sep-26</t>
        </is>
      </c>
      <c r="K10" s="12" t="inlineStr">
        <is>
          <t>Factura/proforma</t>
        </is>
      </c>
      <c r="L10" s="12" t="inlineStr">
        <is>
          <t>Procesamiento local y sincronización</t>
        </is>
      </c>
    </row>
    <row r="11">
      <c r="A11" s="11" t="inlineStr">
        <is>
          <t>Cloud</t>
        </is>
      </c>
      <c r="B11" s="11" t="inlineStr">
        <is>
          <t>Infra cloud, storage, CI/CD y backups</t>
        </is>
      </c>
      <c r="C11" s="28" t="n">
        <v>12</v>
      </c>
      <c r="D11" s="7" t="n">
        <v>1100</v>
      </c>
      <c r="E11" s="22">
        <f>C11*D11</f>
        <v/>
      </c>
      <c r="F11" s="11" t="inlineStr">
        <is>
          <t>OPEX</t>
        </is>
      </c>
      <c r="G11" s="11" t="inlineStr">
        <is>
          <t>CUEVA OS</t>
        </is>
      </c>
      <c r="H11" s="11" t="inlineStr">
        <is>
          <t>Hernán</t>
        </is>
      </c>
      <c r="I11" s="11" t="inlineStr">
        <is>
          <t>Muy alta</t>
        </is>
      </c>
      <c r="J11" s="11" t="inlineStr">
        <is>
          <t>Jul-26 a Jun-27</t>
        </is>
      </c>
      <c r="K11" s="11" t="inlineStr">
        <is>
          <t>Facturas cloud</t>
        </is>
      </c>
      <c r="L11" s="11" t="inlineStr">
        <is>
          <t>12 meses iniciales</t>
        </is>
      </c>
    </row>
    <row r="12">
      <c r="A12" s="12" t="inlineStr">
        <is>
          <t>Seguridad</t>
        </is>
      </c>
      <c r="B12" s="12" t="inlineStr">
        <is>
          <t>MDM, backup, monitorización, IAM</t>
        </is>
      </c>
      <c r="C12" s="29" t="n">
        <v>1</v>
      </c>
      <c r="D12" s="13" t="n">
        <v>6500</v>
      </c>
      <c r="E12" s="24">
        <f>C12*D12</f>
        <v/>
      </c>
      <c r="F12" s="12" t="inlineStr">
        <is>
          <t>OPEX</t>
        </is>
      </c>
      <c r="G12" s="12" t="inlineStr">
        <is>
          <t>CUEVA OS / audit</t>
        </is>
      </c>
      <c r="H12" s="12" t="inlineStr">
        <is>
          <t>Santi</t>
        </is>
      </c>
      <c r="I12" s="12" t="inlineStr">
        <is>
          <t>Alta</t>
        </is>
      </c>
      <c r="J12" s="12" t="inlineStr">
        <is>
          <t>Sep-26</t>
        </is>
      </c>
      <c r="K12" s="12" t="inlineStr">
        <is>
          <t>Contrato SaaS</t>
        </is>
      </c>
      <c r="L12" s="12" t="inlineStr">
        <is>
          <t>Capa de seguridad audit-ready</t>
        </is>
      </c>
    </row>
    <row r="13">
      <c r="A13" s="11" t="inlineStr">
        <is>
          <t>Producto</t>
        </is>
      </c>
      <c r="B13" s="11" t="inlineStr">
        <is>
          <t>UI/product tooling, prototyping y test</t>
        </is>
      </c>
      <c r="C13" s="28" t="n">
        <v>1</v>
      </c>
      <c r="D13" s="7" t="n">
        <v>7500</v>
      </c>
      <c r="E13" s="22">
        <f>C13*D13</f>
        <v/>
      </c>
      <c r="F13" s="11" t="inlineStr">
        <is>
          <t>OPEX</t>
        </is>
      </c>
      <c r="G13" s="11" t="inlineStr">
        <is>
          <t>Go-to-market</t>
        </is>
      </c>
      <c r="H13" s="11" t="inlineStr">
        <is>
          <t>Hernán/Jacqueline</t>
        </is>
      </c>
      <c r="I13" s="11" t="inlineStr">
        <is>
          <t>Media-alta</t>
        </is>
      </c>
      <c r="J13" s="11" t="inlineStr">
        <is>
          <t>Ago-26</t>
        </is>
      </c>
      <c r="K13" s="11" t="inlineStr">
        <is>
          <t>Licencias</t>
        </is>
      </c>
      <c r="L13" s="11" t="inlineStr">
        <is>
          <t>Demo, UX, testing</t>
        </is>
      </c>
    </row>
    <row r="14">
      <c r="A14" s="12" t="inlineStr">
        <is>
          <t>Integración</t>
        </is>
      </c>
      <c r="B14" s="12" t="inlineStr">
        <is>
          <t>APIs, entornos, QA y pruebas campo</t>
        </is>
      </c>
      <c r="C14" s="29" t="n">
        <v>1</v>
      </c>
      <c r="D14" s="13" t="n">
        <v>9300</v>
      </c>
      <c r="E14" s="24">
        <f>C14*D14</f>
        <v/>
      </c>
      <c r="F14" s="12" t="inlineStr">
        <is>
          <t>OPEX</t>
        </is>
      </c>
      <c r="G14" s="12" t="inlineStr">
        <is>
          <t>KIWA/Logistik/Hub</t>
        </is>
      </c>
      <c r="H14" s="12" t="inlineStr">
        <is>
          <t>Hernán</t>
        </is>
      </c>
      <c r="I14" s="12" t="inlineStr">
        <is>
          <t>Alta</t>
        </is>
      </c>
      <c r="J14" s="12" t="inlineStr">
        <is>
          <t>Sep-Nov 26</t>
        </is>
      </c>
      <c r="K14" s="12" t="inlineStr">
        <is>
          <t>Hitos internos</t>
        </is>
      </c>
      <c r="L14" s="12" t="inlineStr">
        <is>
          <t>Bolsa de integración</t>
        </is>
      </c>
    </row>
    <row r="15">
      <c r="A15" s="11" t="inlineStr">
        <is>
          <t>Contingencia técnica</t>
        </is>
      </c>
      <c r="B15" s="11" t="inlineStr">
        <is>
          <t>Repuestos, cableado, soportes, cajas, sensores</t>
        </is>
      </c>
      <c r="C15" s="28" t="n">
        <v>1</v>
      </c>
      <c r="D15" s="7" t="n">
        <v>8600</v>
      </c>
      <c r="E15" s="22">
        <f>C15*D15</f>
        <v/>
      </c>
      <c r="F15" s="11" t="inlineStr">
        <is>
          <t>CAPEX/OPEX</t>
        </is>
      </c>
      <c r="G15" s="11" t="inlineStr">
        <is>
          <t>Todos</t>
        </is>
      </c>
      <c r="H15" s="11" t="inlineStr">
        <is>
          <t>Santi</t>
        </is>
      </c>
      <c r="I15" s="11" t="inlineStr">
        <is>
          <t>Media</t>
        </is>
      </c>
      <c r="J15" s="11" t="inlineStr">
        <is>
          <t>Q4-26</t>
        </is>
      </c>
      <c r="K15" s="11" t="inlineStr">
        <is>
          <t>Facturas</t>
        </is>
      </c>
      <c r="L15" s="11" t="inlineStr">
        <is>
          <t>No sobredimensionar</t>
        </is>
      </c>
    </row>
    <row r="16">
      <c r="A16" s="16" t="inlineStr">
        <is>
          <t>TOTAL</t>
        </is>
      </c>
      <c r="B16" s="16" t="inlineStr"/>
      <c r="C16" s="16" t="inlineStr"/>
      <c r="D16" s="17" t="inlineStr"/>
      <c r="E16" s="17">
        <f>SUM(E5:E15)</f>
        <v/>
      </c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</row>
  </sheetData>
  <mergeCells count="2">
    <mergeCell ref="A2:L2"/>
    <mergeCell ref="A1:L1"/>
  </mergeCells>
  <pageMargins left="0.25" right="0.25" top="0.5" bottom="0.5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0" customWidth="1" min="3" max="3"/>
    <col width="18" customWidth="1" min="4" max="4"/>
    <col width="10" customWidth="1" min="5" max="5"/>
    <col width="16" customWidth="1" min="6" max="6"/>
    <col width="22" customWidth="1" min="7" max="7"/>
    <col width="18" customWidth="1" min="8" max="8"/>
    <col width="14" customWidth="1" min="9" max="9"/>
    <col width="36" customWidth="1" min="10" max="10"/>
  </cols>
  <sheetData>
    <row r="1" ht="30" customHeight="1">
      <c r="A1" s="1" t="inlineStr">
        <is>
          <t>Licencias IA / SaaS</t>
        </is>
      </c>
    </row>
    <row r="2" ht="22" customHeight="1">
      <c r="A2" s="2" t="inlineStr">
        <is>
          <t>Subpestaña de control de licencias dentro de la partida Software/IT/Telecom</t>
        </is>
      </c>
    </row>
    <row r="4" ht="24" customHeight="1">
      <c r="A4" s="10" t="inlineStr">
        <is>
          <t>Licencia / servicio</t>
        </is>
      </c>
      <c r="B4" s="10" t="inlineStr">
        <is>
          <t>Uso</t>
        </is>
      </c>
      <c r="C4" s="10" t="inlineStr">
        <is>
          <t>Usuarios</t>
        </is>
      </c>
      <c r="D4" s="10" t="inlineStr">
        <is>
          <t>Coste mensual estimado (€)</t>
        </is>
      </c>
      <c r="E4" s="10" t="inlineStr">
        <is>
          <t>Meses</t>
        </is>
      </c>
      <c r="F4" s="10" t="inlineStr">
        <is>
          <t>Coste total (€)</t>
        </is>
      </c>
      <c r="G4" s="10" t="inlineStr">
        <is>
          <t>Proyecto</t>
        </is>
      </c>
      <c r="H4" s="10" t="inlineStr">
        <is>
          <t>Responsable</t>
        </is>
      </c>
      <c r="I4" s="10" t="inlineStr">
        <is>
          <t>Criticidad</t>
        </is>
      </c>
      <c r="J4" s="10" t="inlineStr">
        <is>
          <t>Notas</t>
        </is>
      </c>
    </row>
    <row r="5">
      <c r="A5" s="11" t="inlineStr">
        <is>
          <t>OpenAI/API/IA generativa</t>
        </is>
      </c>
      <c r="B5" s="11" t="inlineStr">
        <is>
          <t>Asistentes, análisis, generación documentación, productividad</t>
        </is>
      </c>
      <c r="C5" s="28" t="n">
        <v>4</v>
      </c>
      <c r="D5" s="7" t="n">
        <v>350</v>
      </c>
      <c r="E5" s="28" t="n">
        <v>12</v>
      </c>
      <c r="F5" s="22">
        <f>C5*D5*E5</f>
        <v/>
      </c>
      <c r="G5" s="11" t="inlineStr">
        <is>
          <t>CUEVA OS / BP / comercial</t>
        </is>
      </c>
      <c r="H5" s="11" t="inlineStr">
        <is>
          <t>Hernán/Santi</t>
        </is>
      </c>
      <c r="I5" s="11" t="inlineStr">
        <is>
          <t>Alta</t>
        </is>
      </c>
      <c r="J5" s="11" t="inlineStr">
        <is>
          <t>Controlar consumo por proyecto</t>
        </is>
      </c>
    </row>
    <row r="6">
      <c r="A6" s="12" t="inlineStr">
        <is>
          <t>GitHub/Copilot/Dev tooling</t>
        </is>
      </c>
      <c r="B6" s="12" t="inlineStr">
        <is>
          <t>Desarrollo y revisión código</t>
        </is>
      </c>
      <c r="C6" s="29" t="n">
        <v>3</v>
      </c>
      <c r="D6" s="13" t="n">
        <v>80</v>
      </c>
      <c r="E6" s="29" t="n">
        <v>12</v>
      </c>
      <c r="F6" s="24">
        <f>C6*D6*E6</f>
        <v/>
      </c>
      <c r="G6" s="12" t="inlineStr">
        <is>
          <t>CUEVA OS</t>
        </is>
      </c>
      <c r="H6" s="12" t="inlineStr">
        <is>
          <t>Hernán</t>
        </is>
      </c>
      <c r="I6" s="12" t="inlineStr">
        <is>
          <t>Alta</t>
        </is>
      </c>
      <c r="J6" s="12" t="inlineStr"/>
    </row>
    <row r="7">
      <c r="A7" s="11" t="inlineStr">
        <is>
          <t>Cloud DB / hosting / observabilidad</t>
        </is>
      </c>
      <c r="B7" s="11" t="inlineStr">
        <is>
          <t>Backends, datos, logs, uptime</t>
        </is>
      </c>
      <c r="C7" s="28" t="n">
        <v>1</v>
      </c>
      <c r="D7" s="7" t="n">
        <v>900</v>
      </c>
      <c r="E7" s="28" t="n">
        <v>12</v>
      </c>
      <c r="F7" s="22">
        <f>C7*D7*E7</f>
        <v/>
      </c>
      <c r="G7" s="11" t="inlineStr">
        <is>
          <t>CUEVA OS</t>
        </is>
      </c>
      <c r="H7" s="11" t="inlineStr">
        <is>
          <t>Santi</t>
        </is>
      </c>
      <c r="I7" s="11" t="inlineStr">
        <is>
          <t>Muy alta</t>
        </is>
      </c>
      <c r="J7" s="11" t="inlineStr">
        <is>
          <t>Complementa sheet 08</t>
        </is>
      </c>
    </row>
    <row r="8">
      <c r="A8" s="12" t="inlineStr">
        <is>
          <t>M365/Google Workspace</t>
        </is>
      </c>
      <c r="B8" s="12" t="inlineStr">
        <is>
          <t>Documentación, correo, colaboración</t>
        </is>
      </c>
      <c r="C8" s="29" t="n">
        <v>7</v>
      </c>
      <c r="D8" s="13" t="n">
        <v>35</v>
      </c>
      <c r="E8" s="29" t="n">
        <v>12</v>
      </c>
      <c r="F8" s="24">
        <f>C8*D8*E8</f>
        <v/>
      </c>
      <c r="G8" s="12" t="inlineStr">
        <is>
          <t>Equipo</t>
        </is>
      </c>
      <c r="H8" s="12" t="inlineStr">
        <is>
          <t>Ángel</t>
        </is>
      </c>
      <c r="I8" s="12" t="inlineStr">
        <is>
          <t>Media-alta</t>
        </is>
      </c>
      <c r="J8" s="12" t="inlineStr"/>
    </row>
    <row r="9">
      <c r="A9" s="11" t="inlineStr">
        <is>
          <t>CRM / pipeline</t>
        </is>
      </c>
      <c r="B9" s="11" t="inlineStr">
        <is>
          <t>Seguimiento comercial, ofertas, leads</t>
        </is>
      </c>
      <c r="C9" s="28" t="n">
        <v>4</v>
      </c>
      <c r="D9" s="7" t="n">
        <v>65</v>
      </c>
      <c r="E9" s="28" t="n">
        <v>12</v>
      </c>
      <c r="F9" s="22">
        <f>C9*D9*E9</f>
        <v/>
      </c>
      <c r="G9" s="11" t="inlineStr">
        <is>
          <t>Comercial</t>
        </is>
      </c>
      <c r="H9" s="11" t="inlineStr">
        <is>
          <t>Emilio/Jacqueline</t>
        </is>
      </c>
      <c r="I9" s="11" t="inlineStr">
        <is>
          <t>Alta</t>
        </is>
      </c>
      <c r="J9" s="11" t="inlineStr">
        <is>
          <t>Puede comenzar simple</t>
        </is>
      </c>
    </row>
    <row r="10">
      <c r="A10" s="12" t="inlineStr">
        <is>
          <t>Diseño / web / vídeo</t>
        </is>
      </c>
      <c r="B10" s="12" t="inlineStr">
        <is>
          <t>Marketing, assets, edición</t>
        </is>
      </c>
      <c r="C10" s="29" t="n">
        <v>2</v>
      </c>
      <c r="D10" s="13" t="n">
        <v>120</v>
      </c>
      <c r="E10" s="29" t="n">
        <v>12</v>
      </c>
      <c r="F10" s="24">
        <f>C10*D10*E10</f>
        <v/>
      </c>
      <c r="G10" s="12" t="inlineStr">
        <is>
          <t>Marketing</t>
        </is>
      </c>
      <c r="H10" s="12" t="inlineStr">
        <is>
          <t>Jacqueline</t>
        </is>
      </c>
      <c r="I10" s="12" t="inlineStr">
        <is>
          <t>Media</t>
        </is>
      </c>
      <c r="J10" s="12" t="inlineStr">
        <is>
          <t>Dentro de 18k marketing si aplica</t>
        </is>
      </c>
    </row>
    <row r="11">
      <c r="A11" s="11" t="inlineStr">
        <is>
          <t>Ciberseguridad / MDM</t>
        </is>
      </c>
      <c r="B11" s="11" t="inlineStr">
        <is>
          <t>Control dispositivos, accesos, backup</t>
        </is>
      </c>
      <c r="C11" s="28" t="n">
        <v>1</v>
      </c>
      <c r="D11" s="7" t="n">
        <v>260</v>
      </c>
      <c r="E11" s="28" t="n">
        <v>12</v>
      </c>
      <c r="F11" s="22">
        <f>C11*D11*E11</f>
        <v/>
      </c>
      <c r="G11" s="11" t="inlineStr">
        <is>
          <t>Seguridad</t>
        </is>
      </c>
      <c r="H11" s="11" t="inlineStr">
        <is>
          <t>Santi</t>
        </is>
      </c>
      <c r="I11" s="11" t="inlineStr">
        <is>
          <t>Alta</t>
        </is>
      </c>
      <c r="J11" s="11" t="inlineStr"/>
    </row>
    <row r="12">
      <c r="A12" s="19" t="inlineStr">
        <is>
          <t>TOTAL</t>
        </is>
      </c>
      <c r="B12" s="19" t="inlineStr"/>
      <c r="C12" s="19" t="inlineStr"/>
      <c r="D12" s="20" t="inlineStr"/>
      <c r="E12" s="19" t="inlineStr"/>
      <c r="F12" s="20">
        <f>SUM(F5:F11)</f>
        <v/>
      </c>
      <c r="G12" s="19" t="inlineStr"/>
      <c r="H12" s="19" t="inlineStr"/>
      <c r="I12" s="19" t="inlineStr"/>
      <c r="J12" s="19" t="inlineStr"/>
    </row>
  </sheetData>
  <mergeCells count="2">
    <mergeCell ref="A1:J1"/>
    <mergeCell ref="A2:J2"/>
  </mergeCells>
  <pageMargins left="0.25" right="0.2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4" customWidth="1" min="4" max="4"/>
    <col width="14" customWidth="1" min="5" max="5"/>
    <col width="24" customWidth="1" min="6" max="6"/>
    <col width="32" customWidth="1" min="7" max="7"/>
    <col width="42" customWidth="1" min="8" max="8"/>
    <col width="28" customWidth="1" min="9" max="9"/>
    <col width="30" customWidth="1" min="10" max="10"/>
    <col width="24" customWidth="1" min="11" max="11"/>
    <col width="16" customWidth="1" min="12" max="12"/>
  </cols>
  <sheetData>
    <row r="1" ht="30" customHeight="1">
      <c r="A1" s="1" t="inlineStr">
        <is>
          <t>Proyectos y objetivos 2026-2027</t>
        </is>
      </c>
    </row>
    <row r="2" ht="22" customHeight="1">
      <c r="A2" s="2" t="inlineStr">
        <is>
          <t>Cada línea tiene ingreso, entregable, responsable, KPI y fecha máxima de activación</t>
        </is>
      </c>
    </row>
    <row r="4" ht="24" customHeight="1">
      <c r="A4" s="10" t="inlineStr">
        <is>
          <t>Proyecto / línea</t>
        </is>
      </c>
      <c r="B4" s="10" t="inlineStr">
        <is>
          <t>Tipo</t>
        </is>
      </c>
      <c r="C4" s="10" t="inlineStr">
        <is>
          <t>Ingreso objetivo (€)</t>
        </is>
      </c>
      <c r="D4" s="10" t="inlineStr">
        <is>
          <t>Inicio objetivo</t>
        </is>
      </c>
      <c r="E4" s="10" t="inlineStr">
        <is>
          <t>Fin / cierre</t>
        </is>
      </c>
      <c r="F4" s="10" t="inlineStr">
        <is>
          <t>Responsable</t>
        </is>
      </c>
      <c r="G4" s="10" t="inlineStr">
        <is>
          <t>Socios/actores</t>
        </is>
      </c>
      <c r="H4" s="10" t="inlineStr">
        <is>
          <t>Objetivo de negocio</t>
        </is>
      </c>
      <c r="I4" s="10" t="inlineStr">
        <is>
          <t>KPI principal</t>
        </is>
      </c>
      <c r="J4" s="10" t="inlineStr">
        <is>
          <t>Gate</t>
        </is>
      </c>
      <c r="K4" s="10" t="inlineStr">
        <is>
          <t>Riesgo</t>
        </is>
      </c>
      <c r="L4" s="10" t="inlineStr">
        <is>
          <t>Estado</t>
        </is>
      </c>
    </row>
    <row r="5">
      <c r="A5" s="11" t="inlineStr">
        <is>
          <t>Piedrahita</t>
        </is>
      </c>
      <c r="B5" s="11" t="inlineStr">
        <is>
          <t>Obra/caso comercial</t>
        </is>
      </c>
      <c r="C5" s="7" t="n">
        <v>16000</v>
      </c>
      <c r="D5" s="11" t="inlineStr">
        <is>
          <t>Jul-26</t>
        </is>
      </c>
      <c r="E5" s="11" t="inlineStr">
        <is>
          <t>Sep-26</t>
        </is>
      </c>
      <c r="F5" s="11" t="inlineStr">
        <is>
          <t>Luis / Jorge apoyo</t>
        </is>
      </c>
      <c r="G5" s="11" t="inlineStr">
        <is>
          <t>Cliente / Logistik</t>
        </is>
      </c>
      <c r="H5" s="11" t="inlineStr">
        <is>
          <t>Terminar vivienda y generar caso comercial</t>
        </is>
      </c>
      <c r="I5" s="11" t="inlineStr">
        <is>
          <t>Entrega mediados septiembre</t>
        </is>
      </c>
      <c r="J5" s="11" t="inlineStr">
        <is>
          <t>Cobros ring-fenced</t>
        </is>
      </c>
      <c r="K5" s="11" t="inlineStr">
        <is>
          <t>Tensión cliente/proveedor</t>
        </is>
      </c>
      <c r="L5" s="11" t="inlineStr">
        <is>
          <t>En marcha</t>
        </is>
      </c>
    </row>
    <row r="6">
      <c r="A6" s="12" t="inlineStr">
        <is>
          <t>Salida comercial CUEVA</t>
        </is>
      </c>
      <c r="B6" s="12" t="inlineStr">
        <is>
          <t>Go-to-market</t>
        </is>
      </c>
      <c r="C6" s="13" t="n">
        <v>0</v>
      </c>
      <c r="D6" s="12" t="inlineStr">
        <is>
          <t>Sep-26</t>
        </is>
      </c>
      <c r="E6" s="12" t="inlineStr">
        <is>
          <t>Dic-26</t>
        </is>
      </c>
      <c r="F6" s="12" t="inlineStr">
        <is>
          <t>Luis / Jacqueline</t>
        </is>
      </c>
      <c r="G6" s="12" t="inlineStr">
        <is>
          <t>Equipo</t>
        </is>
      </c>
      <c r="H6" s="12" t="inlineStr">
        <is>
          <t>Web, deck, casos, oferta y CRM</t>
        </is>
      </c>
      <c r="I6" s="12" t="inlineStr">
        <is>
          <t>Web + 20 reuniones cualificadas</t>
        </is>
      </c>
      <c r="J6" s="12" t="inlineStr">
        <is>
          <t>Producto demo estable</t>
        </is>
      </c>
      <c r="K6" s="12" t="inlineStr">
        <is>
          <t>Salida débil</t>
        </is>
      </c>
      <c r="L6" s="12" t="inlineStr">
        <is>
          <t>Pendiente</t>
        </is>
      </c>
    </row>
    <row r="7">
      <c r="A7" s="11" t="inlineStr">
        <is>
          <t>Hub OADAC Valeriano</t>
        </is>
      </c>
      <c r="B7" s="11" t="inlineStr">
        <is>
          <t>Hub industrial</t>
        </is>
      </c>
      <c r="C7" s="7" t="n">
        <v>0</v>
      </c>
      <c r="D7" s="11" t="inlineStr">
        <is>
          <t>Jul-26</t>
        </is>
      </c>
      <c r="E7" s="11" t="inlineStr">
        <is>
          <t>Dic-26</t>
        </is>
      </c>
      <c r="F7" s="11" t="inlineStr">
        <is>
          <t>Luis / Valeriano / Medhi</t>
        </is>
      </c>
      <c r="G7" s="11" t="inlineStr">
        <is>
          <t>Valeriano Alles</t>
        </is>
      </c>
      <c r="H7" s="11" t="inlineStr">
        <is>
          <t>Nodo Menorca showroom + fabricación fase 0-1</t>
        </is>
      </c>
      <c r="I7" s="11" t="inlineStr">
        <is>
          <t>Instalación demostrable</t>
        </is>
      </c>
      <c r="J7" s="11" t="inlineStr">
        <is>
          <t>Acuerdo Valeriano</t>
        </is>
      </c>
      <c r="K7" s="11" t="inlineStr">
        <is>
          <t>Capex sin contratos</t>
        </is>
      </c>
      <c r="L7" s="11" t="inlineStr">
        <is>
          <t>Activo</t>
        </is>
      </c>
    </row>
    <row r="8">
      <c r="A8" s="12" t="inlineStr">
        <is>
          <t>Llar de Mar 2</t>
        </is>
      </c>
      <c r="B8" s="12" t="inlineStr">
        <is>
          <t>Proyecto construcción industrializada</t>
        </is>
      </c>
      <c r="C8" s="13" t="n">
        <v>535000</v>
      </c>
      <c r="D8" s="12" t="inlineStr">
        <is>
          <t>Ene-27</t>
        </is>
      </c>
      <c r="E8" s="12" t="inlineStr">
        <is>
          <t>Abr-27</t>
        </is>
      </c>
      <c r="F8" s="12" t="inlineStr">
        <is>
          <t>Luis + Ángel</t>
        </is>
      </c>
      <c r="G8" s="12" t="inlineStr">
        <is>
          <t>Tash / OADAC / Valeriano / Medhi</t>
        </is>
      </c>
      <c r="H8" s="12" t="inlineStr">
        <is>
          <t>Facturación y caso industrial 25 uds</t>
        </is>
      </c>
      <c r="I8" s="12" t="inlineStr">
        <is>
          <t>535k facturados</t>
        </is>
      </c>
      <c r="J8" s="12" t="inlineStr">
        <is>
          <t>Contrato y anticipo</t>
        </is>
      </c>
      <c r="K8" s="12" t="inlineStr">
        <is>
          <t>Coste/margen obra</t>
        </is>
      </c>
      <c r="L8" s="12" t="inlineStr">
        <is>
          <t>Objetivo</t>
        </is>
      </c>
    </row>
    <row r="9">
      <c r="A9" s="11" t="inlineStr">
        <is>
          <t>Logistik implementación</t>
        </is>
      </c>
      <c r="B9" s="11" t="inlineStr">
        <is>
          <t>Cliente industrial</t>
        </is>
      </c>
      <c r="C9" s="7" t="n">
        <v>180000</v>
      </c>
      <c r="D9" s="11" t="inlineStr">
        <is>
          <t>Mar-27</t>
        </is>
      </c>
      <c r="E9" s="11" t="inlineStr">
        <is>
          <t>Dic-27</t>
        </is>
      </c>
      <c r="F9" s="11" t="inlineStr">
        <is>
          <t>Luis + Ángel</t>
        </is>
      </c>
      <c r="G9" s="11" t="inlineStr">
        <is>
          <t>Logistik / José Luis</t>
        </is>
      </c>
      <c r="H9" s="11" t="inlineStr">
        <is>
          <t>Primer cliente industrial entidad CUEVA OS</t>
        </is>
      </c>
      <c r="I9" s="11" t="inlineStr">
        <is>
          <t>Contrato + despliegue</t>
        </is>
      </c>
      <c r="J9" s="11" t="inlineStr">
        <is>
          <t>Separar socio/cliente</t>
        </is>
      </c>
      <c r="K9" s="11" t="inlineStr">
        <is>
          <t>Bloqueo negociación</t>
        </is>
      </c>
      <c r="L9" s="11" t="inlineStr">
        <is>
          <t>Objetivo</t>
        </is>
      </c>
    </row>
    <row r="10">
      <c r="A10" s="12" t="inlineStr">
        <is>
          <t>KIWA/RMOOB A</t>
        </is>
      </c>
      <c r="B10" s="12" t="inlineStr">
        <is>
          <t>Proyecto certificación/SaaS</t>
        </is>
      </c>
      <c r="C10" s="13" t="n">
        <v>450000</v>
      </c>
      <c r="D10" s="12" t="inlineStr">
        <is>
          <t>May-27</t>
        </is>
      </c>
      <c r="E10" s="12" t="inlineStr">
        <is>
          <t>Ago-27</t>
        </is>
      </c>
      <c r="F10" s="12" t="inlineStr">
        <is>
          <t>Luis / Hernán</t>
        </is>
      </c>
      <c r="G10" s="12" t="inlineStr">
        <is>
          <t>KIWA / RMOOB</t>
        </is>
      </c>
      <c r="H10" s="12" t="inlineStr">
        <is>
          <t>SaaS materia + SaaS producto</t>
        </is>
      </c>
      <c r="I10" s="12" t="inlineStr">
        <is>
          <t>450k cobrados en 4 meses</t>
        </is>
      </c>
      <c r="J10" s="12" t="inlineStr">
        <is>
          <t>LOI/contrato</t>
        </is>
      </c>
      <c r="K10" s="12" t="inlineStr">
        <is>
          <t>Dependencia consorcio</t>
        </is>
      </c>
      <c r="L10" s="12" t="inlineStr">
        <is>
          <t>Objetivo</t>
        </is>
      </c>
    </row>
    <row r="11">
      <c r="A11" s="11" t="inlineStr">
        <is>
          <t>KIWA/RMOOB B1</t>
        </is>
      </c>
      <c r="B11" s="11" t="inlineStr">
        <is>
          <t>Proyecto 800k fase 1</t>
        </is>
      </c>
      <c r="C11" s="7" t="n">
        <v>400000</v>
      </c>
      <c r="D11" s="11" t="inlineStr">
        <is>
          <t>Jul-27</t>
        </is>
      </c>
      <c r="E11" s="11" t="inlineStr">
        <is>
          <t>Oct-27</t>
        </is>
      </c>
      <c r="F11" s="11" t="inlineStr">
        <is>
          <t>Luis / Hernán</t>
        </is>
      </c>
      <c r="G11" s="11" t="inlineStr">
        <is>
          <t>KIWA / RMOOB</t>
        </is>
      </c>
      <c r="H11" s="11" t="inlineStr">
        <is>
          <t>Primera mitad proyecto 800k H2</t>
        </is>
      </c>
      <c r="I11" s="11" t="inlineStr">
        <is>
          <t>400k distribuido H2</t>
        </is>
      </c>
      <c r="J11" s="11" t="inlineStr">
        <is>
          <t>Contrato fase 1</t>
        </is>
      </c>
      <c r="K11" s="11" t="inlineStr">
        <is>
          <t>Ejecución técnica</t>
        </is>
      </c>
      <c r="L11" s="11" t="inlineStr">
        <is>
          <t>Objetivo</t>
        </is>
      </c>
    </row>
    <row r="12">
      <c r="A12" s="12" t="inlineStr">
        <is>
          <t>KIWA/RMOOB B2</t>
        </is>
      </c>
      <c r="B12" s="12" t="inlineStr">
        <is>
          <t>Proyecto 800k fase 2</t>
        </is>
      </c>
      <c r="C12" s="13" t="n">
        <v>400000</v>
      </c>
      <c r="D12" s="12" t="inlineStr">
        <is>
          <t>Oct-27</t>
        </is>
      </c>
      <c r="E12" s="12" t="inlineStr">
        <is>
          <t>Dic-27</t>
        </is>
      </c>
      <c r="F12" s="12" t="inlineStr">
        <is>
          <t>Luis / Hernán</t>
        </is>
      </c>
      <c r="G12" s="12" t="inlineStr">
        <is>
          <t>KIWA / RMOOB</t>
        </is>
      </c>
      <c r="H12" s="12" t="inlineStr">
        <is>
          <t>Segunda mitad proyecto 800k H2</t>
        </is>
      </c>
      <c r="I12" s="12" t="inlineStr">
        <is>
          <t>400k distribuido H2</t>
        </is>
      </c>
      <c r="J12" s="12" t="inlineStr">
        <is>
          <t>Contrato fase 2</t>
        </is>
      </c>
      <c r="K12" s="12" t="inlineStr">
        <is>
          <t>Capacidad equipo</t>
        </is>
      </c>
      <c r="L12" s="12" t="inlineStr">
        <is>
          <t>Objetivo</t>
        </is>
      </c>
    </row>
    <row r="13">
      <c r="A13" s="11" t="inlineStr">
        <is>
          <t>Moolde / Plastic People / Calaf</t>
        </is>
      </c>
      <c r="B13" s="11" t="inlineStr">
        <is>
          <t>Producto/piloto</t>
        </is>
      </c>
      <c r="C13" s="7" t="n">
        <v>90000</v>
      </c>
      <c r="D13" s="11" t="inlineStr">
        <is>
          <t>May-27</t>
        </is>
      </c>
      <c r="E13" s="11" t="inlineStr">
        <is>
          <t>Sep-27</t>
        </is>
      </c>
      <c r="F13" s="11" t="inlineStr">
        <is>
          <t>Luis / Hernán</t>
        </is>
      </c>
      <c r="G13" s="11" t="inlineStr">
        <is>
          <t>Plastic People / Calaf</t>
        </is>
      </c>
      <c r="H13" s="11" t="inlineStr">
        <is>
          <t>Piloto encofrado inteligente plástico</t>
        </is>
      </c>
      <c r="I13" s="11" t="inlineStr">
        <is>
          <t>Piloto facturado</t>
        </is>
      </c>
      <c r="J13" s="11" t="inlineStr">
        <is>
          <t>Cofinanciación</t>
        </is>
      </c>
      <c r="K13" s="11" t="inlineStr">
        <is>
          <t>Desarrollo sin caja</t>
        </is>
      </c>
      <c r="L13" s="11" t="inlineStr">
        <is>
          <t>Objetivo</t>
        </is>
      </c>
    </row>
    <row r="14">
      <c r="A14" s="12" t="inlineStr">
        <is>
          <t>Marsam / marcas producto</t>
        </is>
      </c>
      <c r="B14" s="12" t="inlineStr">
        <is>
          <t>Producto/prototipos</t>
        </is>
      </c>
      <c r="C14" s="13" t="n">
        <v>40000</v>
      </c>
      <c r="D14" s="12" t="inlineStr">
        <is>
          <t>Jun-27</t>
        </is>
      </c>
      <c r="E14" s="12" t="inlineStr">
        <is>
          <t>Nov-27</t>
        </is>
      </c>
      <c r="F14" s="12" t="inlineStr">
        <is>
          <t>Emilio / Luis</t>
        </is>
      </c>
      <c r="G14" s="12" t="inlineStr">
        <is>
          <t>Marsam y marcas</t>
        </is>
      </c>
      <c r="H14" s="12" t="inlineStr">
        <is>
          <t>Prototipos comerciales con CUEVA</t>
        </is>
      </c>
      <c r="I14" s="12" t="inlineStr">
        <is>
          <t>2 prototipos pagados</t>
        </is>
      </c>
      <c r="J14" s="12" t="inlineStr">
        <is>
          <t>Presupuesto firmado</t>
        </is>
      </c>
      <c r="K14" s="12" t="inlineStr">
        <is>
          <t>Prototipo gratis</t>
        </is>
      </c>
      <c r="L14" s="12" t="inlineStr">
        <is>
          <t>Objetivo</t>
        </is>
      </c>
    </row>
    <row r="15">
      <c r="A15" s="11" t="inlineStr">
        <is>
          <t>SaaS/POI/DPP recurrente</t>
        </is>
      </c>
      <c r="B15" s="11" t="inlineStr">
        <is>
          <t>Software</t>
        </is>
      </c>
      <c r="C15" s="7" t="n">
        <v>60000</v>
      </c>
      <c r="D15" s="11" t="inlineStr">
        <is>
          <t>Jul-27</t>
        </is>
      </c>
      <c r="E15" s="11" t="inlineStr">
        <is>
          <t>Dic-27</t>
        </is>
      </c>
      <c r="F15" s="11" t="inlineStr">
        <is>
          <t>Hernán / Santi</t>
        </is>
      </c>
      <c r="G15" s="11" t="inlineStr">
        <is>
          <t>Clientes pipeline</t>
        </is>
      </c>
      <c r="H15" s="11" t="inlineStr">
        <is>
          <t>Primer ARR/servicios recurrentes</t>
        </is>
      </c>
      <c r="I15" s="11" t="inlineStr">
        <is>
          <t>MRR inicial</t>
        </is>
      </c>
      <c r="J15" s="11" t="inlineStr">
        <is>
          <t>Contratos activos</t>
        </is>
      </c>
      <c r="K15" s="11" t="inlineStr">
        <is>
          <t>Baja adopción</t>
        </is>
      </c>
      <c r="L15" s="11" t="inlineStr">
        <is>
          <t>Objetivo</t>
        </is>
      </c>
    </row>
  </sheetData>
  <mergeCells count="2">
    <mergeCell ref="A2:L2"/>
    <mergeCell ref="A1:L1"/>
  </mergeCells>
  <pageMargins left="0.25" right="0.25" top="0.5" bottom="0.5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1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30" customHeight="1">
      <c r="A1" s="1" t="inlineStr">
        <is>
          <t>Proyección de ingresos y calendario de cobro</t>
        </is>
      </c>
    </row>
    <row r="2" ht="22" customHeight="1">
      <c r="A2" s="2" t="inlineStr">
        <is>
          <t>Importes en €. 2027 desarrollado por proyecto y fecha máxima de entrada.</t>
        </is>
      </c>
    </row>
    <row r="4" ht="24" customHeight="1">
      <c r="A4" s="10" t="inlineStr">
        <is>
          <t>Línea / proyecto</t>
        </is>
      </c>
      <c r="B4" s="10" t="inlineStr">
        <is>
          <t>Naturaleza</t>
        </is>
      </c>
      <c r="C4" s="10" t="inlineStr">
        <is>
          <t>Riesgo / confianza</t>
        </is>
      </c>
      <c r="D4" s="10" t="inlineStr">
        <is>
          <t>Jul-26</t>
        </is>
      </c>
      <c r="E4" s="10" t="inlineStr">
        <is>
          <t>Ago-26</t>
        </is>
      </c>
      <c r="F4" s="10" t="inlineStr">
        <is>
          <t>Sep-26</t>
        </is>
      </c>
      <c r="G4" s="10" t="inlineStr">
        <is>
          <t>Oct-26</t>
        </is>
      </c>
      <c r="H4" s="10" t="inlineStr">
        <is>
          <t>Nov-26</t>
        </is>
      </c>
      <c r="I4" s="10" t="inlineStr">
        <is>
          <t>Dic-26</t>
        </is>
      </c>
      <c r="J4" s="10" t="inlineStr">
        <is>
          <t>Ene-27</t>
        </is>
      </c>
      <c r="K4" s="10" t="inlineStr">
        <is>
          <t>Feb-27</t>
        </is>
      </c>
      <c r="L4" s="10" t="inlineStr">
        <is>
          <t>Mar-27</t>
        </is>
      </c>
      <c r="M4" s="10" t="inlineStr">
        <is>
          <t>Abr-27</t>
        </is>
      </c>
      <c r="N4" s="10" t="inlineStr">
        <is>
          <t>May-27</t>
        </is>
      </c>
      <c r="O4" s="10" t="inlineStr">
        <is>
          <t>Jun-27</t>
        </is>
      </c>
      <c r="P4" s="10" t="inlineStr">
        <is>
          <t>Jul-27</t>
        </is>
      </c>
      <c r="Q4" s="10" t="inlineStr">
        <is>
          <t>Ago-27</t>
        </is>
      </c>
      <c r="R4" s="10" t="inlineStr">
        <is>
          <t>Sep-27</t>
        </is>
      </c>
      <c r="S4" s="10" t="inlineStr">
        <is>
          <t>Oct-27</t>
        </is>
      </c>
      <c r="T4" s="10" t="inlineStr">
        <is>
          <t>Nov-27</t>
        </is>
      </c>
      <c r="U4" s="10" t="inlineStr">
        <is>
          <t>Dic-27</t>
        </is>
      </c>
      <c r="V4" s="10" t="inlineStr">
        <is>
          <t>Total</t>
        </is>
      </c>
    </row>
    <row r="5">
      <c r="A5" s="11" t="inlineStr">
        <is>
          <t>Piedrahita remate y cierre</t>
        </is>
      </c>
      <c r="B5" s="11" t="inlineStr">
        <is>
          <t>Cobro cliente ring-fenced</t>
        </is>
      </c>
      <c r="C5" s="11" t="inlineStr">
        <is>
          <t>Alto - obra en marcha</t>
        </is>
      </c>
      <c r="D5" s="7" t="n">
        <v>0</v>
      </c>
      <c r="E5" s="7" t="n">
        <v>0</v>
      </c>
      <c r="F5" s="7" t="n">
        <v>16000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22">
        <f>SUM(D5:U5)</f>
        <v/>
      </c>
    </row>
    <row r="6">
      <c r="A6" s="12" t="inlineStr">
        <is>
          <t>Llar de Mar 2</t>
        </is>
      </c>
      <c r="B6" s="12" t="inlineStr">
        <is>
          <t>Proyecto construcción industrializada</t>
        </is>
      </c>
      <c r="C6" s="12" t="inlineStr">
        <is>
          <t>Medio - contrato objetivo</t>
        </is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100000</v>
      </c>
      <c r="K6" s="13" t="n">
        <v>150000</v>
      </c>
      <c r="L6" s="13" t="n">
        <v>150000</v>
      </c>
      <c r="M6" s="13" t="n">
        <v>135000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13" t="n">
        <v>0</v>
      </c>
      <c r="U6" s="13" t="n">
        <v>0</v>
      </c>
      <c r="V6" s="24">
        <f>SUM(D6:U6)</f>
        <v/>
      </c>
    </row>
    <row r="7">
      <c r="A7" s="11" t="inlineStr">
        <is>
          <t>Logistik implementación / CUEVA OS</t>
        </is>
      </c>
      <c r="B7" s="11" t="inlineStr">
        <is>
          <t>Cliente industrial</t>
        </is>
      </c>
      <c r="C7" s="11" t="inlineStr">
        <is>
          <t>Medio - negociación activa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25000</v>
      </c>
      <c r="M7" s="7" t="n">
        <v>25000</v>
      </c>
      <c r="N7" s="7" t="n">
        <v>25000</v>
      </c>
      <c r="O7" s="7" t="n">
        <v>25000</v>
      </c>
      <c r="P7" s="7" t="n">
        <v>25000</v>
      </c>
      <c r="Q7" s="7" t="n">
        <v>25000</v>
      </c>
      <c r="R7" s="7" t="n">
        <v>30000</v>
      </c>
      <c r="S7" s="7" t="n">
        <v>0</v>
      </c>
      <c r="T7" s="7" t="n">
        <v>0</v>
      </c>
      <c r="U7" s="7" t="n">
        <v>0</v>
      </c>
      <c r="V7" s="22">
        <f>SUM(D7:U7)</f>
        <v/>
      </c>
    </row>
    <row r="8">
      <c r="A8" s="12" t="inlineStr">
        <is>
          <t>KIWA/RMOOB A 450k</t>
        </is>
      </c>
      <c r="B8" s="12" t="inlineStr">
        <is>
          <t>SaaS materia + producto</t>
        </is>
      </c>
      <c r="C8" s="12" t="inlineStr">
        <is>
          <t>Medio - LOI necesario</t>
        </is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13" t="n">
        <v>112500</v>
      </c>
      <c r="O8" s="13" t="n">
        <v>112500</v>
      </c>
      <c r="P8" s="13" t="n">
        <v>112500</v>
      </c>
      <c r="Q8" s="13" t="n">
        <v>112500</v>
      </c>
      <c r="R8" s="13" t="n">
        <v>0</v>
      </c>
      <c r="S8" s="13" t="n">
        <v>0</v>
      </c>
      <c r="T8" s="13" t="n">
        <v>0</v>
      </c>
      <c r="U8" s="13" t="n">
        <v>0</v>
      </c>
      <c r="V8" s="24">
        <f>SUM(D8:U8)</f>
        <v/>
      </c>
    </row>
    <row r="9">
      <c r="A9" s="11" t="inlineStr">
        <is>
          <t>KIWA/RMOOB B1 400k</t>
        </is>
      </c>
      <c r="B9" s="11" t="inlineStr">
        <is>
          <t>Fase 1 proyecto 800k</t>
        </is>
      </c>
      <c r="C9" s="11" t="inlineStr">
        <is>
          <t>Medio - faseable H2 2027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160000</v>
      </c>
      <c r="Q9" s="7" t="n">
        <v>80000</v>
      </c>
      <c r="R9" s="7" t="n">
        <v>80000</v>
      </c>
      <c r="S9" s="7" t="n">
        <v>80000</v>
      </c>
      <c r="T9" s="7" t="n">
        <v>0</v>
      </c>
      <c r="U9" s="7" t="n">
        <v>0</v>
      </c>
      <c r="V9" s="22">
        <f>SUM(D9:U9)</f>
        <v/>
      </c>
    </row>
    <row r="10">
      <c r="A10" s="12" t="inlineStr">
        <is>
          <t>KIWA/RMOOB B2 400k</t>
        </is>
      </c>
      <c r="B10" s="12" t="inlineStr">
        <is>
          <t>Fase 2 proyecto 800k</t>
        </is>
      </c>
      <c r="C10" s="12" t="inlineStr">
        <is>
          <t>Medio - faseable H2 2027</t>
        </is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160000</v>
      </c>
      <c r="T10" s="13" t="n">
        <v>120000</v>
      </c>
      <c r="U10" s="13" t="n">
        <v>120000</v>
      </c>
      <c r="V10" s="24">
        <f>SUM(D10:U10)</f>
        <v/>
      </c>
    </row>
    <row r="11">
      <c r="A11" s="11" t="inlineStr">
        <is>
          <t>Moolde / Plastic People / Calaf</t>
        </is>
      </c>
      <c r="B11" s="11" t="inlineStr">
        <is>
          <t>Piloto producto</t>
        </is>
      </c>
      <c r="C11" s="11" t="inlineStr">
        <is>
          <t>Medio-bajo - cofinanciación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20000</v>
      </c>
      <c r="O11" s="7" t="n">
        <v>25000</v>
      </c>
      <c r="P11" s="7" t="n">
        <v>25000</v>
      </c>
      <c r="Q11" s="7" t="n">
        <v>20000</v>
      </c>
      <c r="R11" s="7" t="n">
        <v>0</v>
      </c>
      <c r="S11" s="7" t="n">
        <v>0</v>
      </c>
      <c r="T11" s="7" t="n">
        <v>0</v>
      </c>
      <c r="U11" s="7" t="n">
        <v>0</v>
      </c>
      <c r="V11" s="22">
        <f>SUM(D11:U11)</f>
        <v/>
      </c>
    </row>
    <row r="12">
      <c r="A12" s="12" t="inlineStr">
        <is>
          <t>Marsam / marcas producto</t>
        </is>
      </c>
      <c r="B12" s="12" t="inlineStr">
        <is>
          <t>Prototipos comerciales</t>
        </is>
      </c>
      <c r="C12" s="12" t="inlineStr">
        <is>
          <t>Medio-bajo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10000</v>
      </c>
      <c r="P12" s="13" t="n">
        <v>0</v>
      </c>
      <c r="Q12" s="13" t="n">
        <v>0</v>
      </c>
      <c r="R12" s="13" t="n">
        <v>15000</v>
      </c>
      <c r="S12" s="13" t="n">
        <v>0</v>
      </c>
      <c r="T12" s="13" t="n">
        <v>15000</v>
      </c>
      <c r="U12" s="13" t="n">
        <v>0</v>
      </c>
      <c r="V12" s="24">
        <f>SUM(D12:U12)</f>
        <v/>
      </c>
    </row>
    <row r="13">
      <c r="A13" s="11" t="inlineStr">
        <is>
          <t>SaaS/POI/DPP recurrente</t>
        </is>
      </c>
      <c r="B13" s="11" t="inlineStr">
        <is>
          <t>MRR/servicios recurrentes</t>
        </is>
      </c>
      <c r="C13" s="11" t="inlineStr">
        <is>
          <t>Medio-bajo - depende adopción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10000</v>
      </c>
      <c r="Q13" s="7" t="n">
        <v>10000</v>
      </c>
      <c r="R13" s="7" t="n">
        <v>10000</v>
      </c>
      <c r="S13" s="7" t="n">
        <v>10000</v>
      </c>
      <c r="T13" s="7" t="n">
        <v>10000</v>
      </c>
      <c r="U13" s="7" t="n">
        <v>10000</v>
      </c>
      <c r="V13" s="22">
        <f>SUM(D13:U13)</f>
        <v/>
      </c>
    </row>
    <row r="14">
      <c r="A14" s="19" t="inlineStr">
        <is>
          <t>TOTAL INGRESOS</t>
        </is>
      </c>
      <c r="B14" s="19" t="inlineStr"/>
      <c r="C14" s="19" t="inlineStr"/>
      <c r="D14" s="20">
        <f>SUM(D5:D13)</f>
        <v/>
      </c>
      <c r="E14" s="20">
        <f>SUM(E5:E13)</f>
        <v/>
      </c>
      <c r="F14" s="20">
        <f>SUM(F5:F13)</f>
        <v/>
      </c>
      <c r="G14" s="20">
        <f>SUM(G5:G13)</f>
        <v/>
      </c>
      <c r="H14" s="20">
        <f>SUM(H5:H13)</f>
        <v/>
      </c>
      <c r="I14" s="20">
        <f>SUM(I5:I13)</f>
        <v/>
      </c>
      <c r="J14" s="20">
        <f>SUM(J5:J13)</f>
        <v/>
      </c>
      <c r="K14" s="20">
        <f>SUM(K5:K13)</f>
        <v/>
      </c>
      <c r="L14" s="20">
        <f>SUM(L5:L13)</f>
        <v/>
      </c>
      <c r="M14" s="20">
        <f>SUM(M5:M13)</f>
        <v/>
      </c>
      <c r="N14" s="20">
        <f>SUM(N5:N13)</f>
        <v/>
      </c>
      <c r="O14" s="20">
        <f>SUM(O5:O13)</f>
        <v/>
      </c>
      <c r="P14" s="20">
        <f>SUM(P5:P13)</f>
        <v/>
      </c>
      <c r="Q14" s="20">
        <f>SUM(Q5:Q13)</f>
        <v/>
      </c>
      <c r="R14" s="20">
        <f>SUM(R5:R13)</f>
        <v/>
      </c>
      <c r="S14" s="20">
        <f>SUM(S5:S13)</f>
        <v/>
      </c>
      <c r="T14" s="20">
        <f>SUM(T5:T13)</f>
        <v/>
      </c>
      <c r="U14" s="20">
        <f>SUM(U5:U13)</f>
        <v/>
      </c>
      <c r="V14" s="20">
        <f>SUM(V5:V13)</f>
        <v/>
      </c>
    </row>
  </sheetData>
  <mergeCells count="2">
    <mergeCell ref="A1:T1"/>
    <mergeCell ref="A2:T2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T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Cuenta de resultados 2026-2027</t>
        </is>
      </c>
    </row>
    <row r="2" ht="22" customHeight="1">
      <c r="A2" s="2" t="inlineStr">
        <is>
          <t>P&amp;L mensual y anual. Importes en €. Margen directo por línea en supuestos auditables.</t>
        </is>
      </c>
    </row>
    <row r="4" ht="24" customHeight="1">
      <c r="A4" s="10" t="inlineStr">
        <is>
          <t>Concepto</t>
        </is>
      </c>
      <c r="B4" s="10" t="inlineStr">
        <is>
          <t>Jul-26</t>
        </is>
      </c>
      <c r="C4" s="10" t="inlineStr">
        <is>
          <t>Ago-26</t>
        </is>
      </c>
      <c r="D4" s="10" t="inlineStr">
        <is>
          <t>Sep-26</t>
        </is>
      </c>
      <c r="E4" s="10" t="inlineStr">
        <is>
          <t>Oct-26</t>
        </is>
      </c>
      <c r="F4" s="10" t="inlineStr">
        <is>
          <t>Nov-26</t>
        </is>
      </c>
      <c r="G4" s="10" t="inlineStr">
        <is>
          <t>Dic-26</t>
        </is>
      </c>
      <c r="H4" s="10" t="inlineStr">
        <is>
          <t>Ene-27</t>
        </is>
      </c>
      <c r="I4" s="10" t="inlineStr">
        <is>
          <t>Feb-27</t>
        </is>
      </c>
      <c r="J4" s="10" t="inlineStr">
        <is>
          <t>Mar-27</t>
        </is>
      </c>
      <c r="K4" s="10" t="inlineStr">
        <is>
          <t>Abr-27</t>
        </is>
      </c>
      <c r="L4" s="10" t="inlineStr">
        <is>
          <t>May-27</t>
        </is>
      </c>
      <c r="M4" s="10" t="inlineStr">
        <is>
          <t>Jun-27</t>
        </is>
      </c>
      <c r="N4" s="10" t="inlineStr">
        <is>
          <t>Jul-27</t>
        </is>
      </c>
      <c r="O4" s="10" t="inlineStr">
        <is>
          <t>Ago-27</t>
        </is>
      </c>
      <c r="P4" s="10" t="inlineStr">
        <is>
          <t>Sep-27</t>
        </is>
      </c>
      <c r="Q4" s="10" t="inlineStr">
        <is>
          <t>Oct-27</t>
        </is>
      </c>
      <c r="R4" s="10" t="inlineStr">
        <is>
          <t>Nov-27</t>
        </is>
      </c>
      <c r="S4" s="10" t="inlineStr">
        <is>
          <t>Dic-27</t>
        </is>
      </c>
      <c r="T4" s="10" t="inlineStr">
        <is>
          <t>Total</t>
        </is>
      </c>
    </row>
    <row r="5">
      <c r="A5" s="11" t="inlineStr">
        <is>
          <t>Ingresos</t>
        </is>
      </c>
      <c r="B5" s="25">
        <f>'11_Ingresos_2026_2027'!D$14</f>
        <v/>
      </c>
      <c r="C5" s="25">
        <f>'11_Ingresos_2026_2027'!E$14</f>
        <v/>
      </c>
      <c r="D5" s="25">
        <f>'11_Ingresos_2026_2027'!F$14</f>
        <v/>
      </c>
      <c r="E5" s="25">
        <f>'11_Ingresos_2026_2027'!G$14</f>
        <v/>
      </c>
      <c r="F5" s="25">
        <f>'11_Ingresos_2026_2027'!H$14</f>
        <v/>
      </c>
      <c r="G5" s="25">
        <f>'11_Ingresos_2026_2027'!I$14</f>
        <v/>
      </c>
      <c r="H5" s="25">
        <f>'11_Ingresos_2026_2027'!J$14</f>
        <v/>
      </c>
      <c r="I5" s="25">
        <f>'11_Ingresos_2026_2027'!K$14</f>
        <v/>
      </c>
      <c r="J5" s="25">
        <f>'11_Ingresos_2026_2027'!L$14</f>
        <v/>
      </c>
      <c r="K5" s="25">
        <f>'11_Ingresos_2026_2027'!M$14</f>
        <v/>
      </c>
      <c r="L5" s="25">
        <f>'11_Ingresos_2026_2027'!N$14</f>
        <v/>
      </c>
      <c r="M5" s="25">
        <f>'11_Ingresos_2026_2027'!O$14</f>
        <v/>
      </c>
      <c r="N5" s="25">
        <f>'11_Ingresos_2026_2027'!P$14</f>
        <v/>
      </c>
      <c r="O5" s="25">
        <f>'11_Ingresos_2026_2027'!Q$14</f>
        <v/>
      </c>
      <c r="P5" s="25">
        <f>'11_Ingresos_2026_2027'!R$14</f>
        <v/>
      </c>
      <c r="Q5" s="25">
        <f>'11_Ingresos_2026_2027'!S$14</f>
        <v/>
      </c>
      <c r="R5" s="25">
        <f>'11_Ingresos_2026_2027'!T$14</f>
        <v/>
      </c>
      <c r="S5" s="25">
        <f>'11_Ingresos_2026_2027'!U$14</f>
        <v/>
      </c>
      <c r="T5" s="22">
        <f>SUM(B5:S5)</f>
        <v/>
      </c>
    </row>
    <row r="6">
      <c r="A6" s="12" t="inlineStr">
        <is>
          <t>Costes directos proyectos</t>
        </is>
      </c>
      <c r="B6" s="24">
        <f>ROUND(B5*55%,0)</f>
        <v/>
      </c>
      <c r="C6" s="24">
        <f>ROUND(C5*55%,0)</f>
        <v/>
      </c>
      <c r="D6" s="24">
        <f>ROUND(D5*55%,0)</f>
        <v/>
      </c>
      <c r="E6" s="24">
        <f>ROUND(E5*55%,0)</f>
        <v/>
      </c>
      <c r="F6" s="24">
        <f>ROUND(F5*55%,0)</f>
        <v/>
      </c>
      <c r="G6" s="24">
        <f>ROUND(G5*55%,0)</f>
        <v/>
      </c>
      <c r="H6" s="24">
        <f>ROUND(H5*55%,0)</f>
        <v/>
      </c>
      <c r="I6" s="24">
        <f>ROUND(I5*55%,0)</f>
        <v/>
      </c>
      <c r="J6" s="24">
        <f>ROUND(J5*55%,0)</f>
        <v/>
      </c>
      <c r="K6" s="24">
        <f>ROUND(K5*55%,0)</f>
        <v/>
      </c>
      <c r="L6" s="24">
        <f>ROUND(L5*55%,0)</f>
        <v/>
      </c>
      <c r="M6" s="24">
        <f>ROUND(M5*55%,0)</f>
        <v/>
      </c>
      <c r="N6" s="24">
        <f>ROUND(N5*55%,0)</f>
        <v/>
      </c>
      <c r="O6" s="24">
        <f>ROUND(O5*55%,0)</f>
        <v/>
      </c>
      <c r="P6" s="24">
        <f>ROUND(P5*55%,0)</f>
        <v/>
      </c>
      <c r="Q6" s="24">
        <f>ROUND(Q5*55%,0)</f>
        <v/>
      </c>
      <c r="R6" s="24">
        <f>ROUND(R5*55%,0)</f>
        <v/>
      </c>
      <c r="S6" s="24">
        <f>ROUND(S5*55%,0)</f>
        <v/>
      </c>
      <c r="T6" s="24">
        <f>SUM(B6:S6)</f>
        <v/>
      </c>
    </row>
    <row r="7">
      <c r="A7" s="19" t="inlineStr">
        <is>
          <t>Margen bruto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  <c r="G7" s="20">
        <f>G5-G6</f>
        <v/>
      </c>
      <c r="H7" s="20">
        <f>H5-H6</f>
        <v/>
      </c>
      <c r="I7" s="20">
        <f>I5-I6</f>
        <v/>
      </c>
      <c r="J7" s="20">
        <f>J5-J6</f>
        <v/>
      </c>
      <c r="K7" s="20">
        <f>K5-K6</f>
        <v/>
      </c>
      <c r="L7" s="20">
        <f>L5-L6</f>
        <v/>
      </c>
      <c r="M7" s="20">
        <f>M5-M6</f>
        <v/>
      </c>
      <c r="N7" s="20">
        <f>N5-N6</f>
        <v/>
      </c>
      <c r="O7" s="20">
        <f>O5-O6</f>
        <v/>
      </c>
      <c r="P7" s="20">
        <f>P5-P6</f>
        <v/>
      </c>
      <c r="Q7" s="20">
        <f>Q5-Q6</f>
        <v/>
      </c>
      <c r="R7" s="20">
        <f>R5-R6</f>
        <v/>
      </c>
      <c r="S7" s="20">
        <f>S5-S6</f>
        <v/>
      </c>
      <c r="T7" s="20">
        <f>SUM(B7:S7)</f>
        <v/>
      </c>
    </row>
    <row r="8">
      <c r="A8" s="12" t="inlineStr">
        <is>
          <t>% margen bruto</t>
        </is>
      </c>
      <c r="B8" s="15">
        <f>IFERROR(B7/B5,0)</f>
        <v/>
      </c>
      <c r="C8" s="15">
        <f>IFERROR(C7/C5,0)</f>
        <v/>
      </c>
      <c r="D8" s="15">
        <f>IFERROR(D7/D5,0)</f>
        <v/>
      </c>
      <c r="E8" s="15">
        <f>IFERROR(E7/E5,0)</f>
        <v/>
      </c>
      <c r="F8" s="15">
        <f>IFERROR(F7/F5,0)</f>
        <v/>
      </c>
      <c r="G8" s="15">
        <f>IFERROR(G7/G5,0)</f>
        <v/>
      </c>
      <c r="H8" s="15">
        <f>IFERROR(H7/H5,0)</f>
        <v/>
      </c>
      <c r="I8" s="15">
        <f>IFERROR(I7/I5,0)</f>
        <v/>
      </c>
      <c r="J8" s="15">
        <f>IFERROR(J7/J5,0)</f>
        <v/>
      </c>
      <c r="K8" s="15">
        <f>IFERROR(K7/K5,0)</f>
        <v/>
      </c>
      <c r="L8" s="15">
        <f>IFERROR(L7/L5,0)</f>
        <v/>
      </c>
      <c r="M8" s="15">
        <f>IFERROR(M7/M5,0)</f>
        <v/>
      </c>
      <c r="N8" s="15">
        <f>IFERROR(N7/N5,0)</f>
        <v/>
      </c>
      <c r="O8" s="15">
        <f>IFERROR(O7/O5,0)</f>
        <v/>
      </c>
      <c r="P8" s="15">
        <f>IFERROR(P7/P5,0)</f>
        <v/>
      </c>
      <c r="Q8" s="15">
        <f>IFERROR(Q7/Q5,0)</f>
        <v/>
      </c>
      <c r="R8" s="15">
        <f>IFERROR(R7/R5,0)</f>
        <v/>
      </c>
      <c r="S8" s="15">
        <f>IFERROR(S7/S5,0)</f>
        <v/>
      </c>
      <c r="T8" s="15">
        <f>IFERROR(T7/T5,0)</f>
        <v/>
      </c>
    </row>
    <row r="9">
      <c r="A9" s="11" t="inlineStr">
        <is>
          <t>Personal base</t>
        </is>
      </c>
      <c r="B9" s="7" t="n">
        <v>19100</v>
      </c>
      <c r="C9" s="7" t="n">
        <v>19100</v>
      </c>
      <c r="D9" s="7" t="n">
        <v>19100</v>
      </c>
      <c r="E9" s="7" t="n">
        <v>19100</v>
      </c>
      <c r="F9" s="7" t="n">
        <v>19100</v>
      </c>
      <c r="G9" s="7" t="n">
        <v>19100</v>
      </c>
      <c r="H9" s="7" t="n">
        <v>19100</v>
      </c>
      <c r="I9" s="7" t="n">
        <v>19100</v>
      </c>
      <c r="J9" s="7" t="n">
        <v>19100</v>
      </c>
      <c r="K9" s="7" t="n">
        <v>21300</v>
      </c>
      <c r="L9" s="7" t="n">
        <v>21300</v>
      </c>
      <c r="M9" s="7" t="n">
        <v>21300</v>
      </c>
      <c r="N9" s="7" t="n">
        <v>23900</v>
      </c>
      <c r="O9" s="7" t="n">
        <v>23900</v>
      </c>
      <c r="P9" s="7" t="n">
        <v>23900</v>
      </c>
      <c r="Q9" s="7" t="n">
        <v>26400</v>
      </c>
      <c r="R9" s="7" t="n">
        <v>26400</v>
      </c>
      <c r="S9" s="7" t="n">
        <v>26400</v>
      </c>
      <c r="T9" s="22">
        <f>SUM(B9:S9)</f>
        <v/>
      </c>
    </row>
    <row r="10">
      <c r="A10" s="12" t="inlineStr">
        <is>
          <t>Seguridad Social / cumplimiento</t>
        </is>
      </c>
      <c r="B10" s="13" t="n">
        <v>3000</v>
      </c>
      <c r="C10" s="13" t="n">
        <v>3000</v>
      </c>
      <c r="D10" s="13" t="n">
        <v>3000</v>
      </c>
      <c r="E10" s="13" t="n">
        <v>3000</v>
      </c>
      <c r="F10" s="13" t="n">
        <v>3000</v>
      </c>
      <c r="G10" s="13" t="n">
        <v>3000</v>
      </c>
      <c r="H10" s="13" t="n">
        <v>5921</v>
      </c>
      <c r="I10" s="13" t="n">
        <v>5921</v>
      </c>
      <c r="J10" s="13" t="n">
        <v>5921</v>
      </c>
      <c r="K10" s="13" t="n">
        <v>6603</v>
      </c>
      <c r="L10" s="13" t="n">
        <v>6603</v>
      </c>
      <c r="M10" s="13" t="n">
        <v>6603</v>
      </c>
      <c r="N10" s="13" t="n">
        <v>7409</v>
      </c>
      <c r="O10" s="13" t="n">
        <v>7409</v>
      </c>
      <c r="P10" s="13" t="n">
        <v>7409</v>
      </c>
      <c r="Q10" s="13" t="n">
        <v>8184</v>
      </c>
      <c r="R10" s="13" t="n">
        <v>8184</v>
      </c>
      <c r="S10" s="13" t="n">
        <v>8184</v>
      </c>
      <c r="T10" s="24">
        <f>SUM(B10:S10)</f>
        <v/>
      </c>
    </row>
    <row r="11">
      <c r="A11" s="11" t="inlineStr">
        <is>
          <t>Software/IT/Telecom OPEX</t>
        </is>
      </c>
      <c r="B11" s="7" t="n">
        <v>8000</v>
      </c>
      <c r="C11" s="7" t="n">
        <v>8000</v>
      </c>
      <c r="D11" s="7" t="n">
        <v>8000</v>
      </c>
      <c r="E11" s="7" t="n">
        <v>11000</v>
      </c>
      <c r="F11" s="7" t="n">
        <v>11000</v>
      </c>
      <c r="G11" s="7" t="n">
        <v>11000</v>
      </c>
      <c r="H11" s="7" t="n">
        <v>6000</v>
      </c>
      <c r="I11" s="7" t="n">
        <v>6000</v>
      </c>
      <c r="J11" s="7" t="n">
        <v>6000</v>
      </c>
      <c r="K11" s="7" t="n">
        <v>6000</v>
      </c>
      <c r="L11" s="7" t="n">
        <v>6000</v>
      </c>
      <c r="M11" s="7" t="n">
        <v>6000</v>
      </c>
      <c r="N11" s="7" t="n">
        <v>8000</v>
      </c>
      <c r="O11" s="7" t="n">
        <v>8000</v>
      </c>
      <c r="P11" s="7" t="n">
        <v>8000</v>
      </c>
      <c r="Q11" s="7" t="n">
        <v>8000</v>
      </c>
      <c r="R11" s="7" t="n">
        <v>8000</v>
      </c>
      <c r="S11" s="7" t="n">
        <v>8000</v>
      </c>
      <c r="T11" s="22">
        <f>SUM(B11:S11)</f>
        <v/>
      </c>
    </row>
    <row r="12">
      <c r="A12" s="12" t="inlineStr">
        <is>
          <t>Marketing/Comercial</t>
        </is>
      </c>
      <c r="B12" s="13" t="n">
        <v>3000</v>
      </c>
      <c r="C12" s="13" t="n">
        <v>3000</v>
      </c>
      <c r="D12" s="13" t="n">
        <v>3000</v>
      </c>
      <c r="E12" s="13" t="n">
        <v>3000</v>
      </c>
      <c r="F12" s="13" t="n">
        <v>3000</v>
      </c>
      <c r="G12" s="13" t="n">
        <v>3000</v>
      </c>
      <c r="H12" s="13" t="n">
        <v>4000</v>
      </c>
      <c r="I12" s="13" t="n">
        <v>4000</v>
      </c>
      <c r="J12" s="13" t="n">
        <v>4000</v>
      </c>
      <c r="K12" s="13" t="n">
        <v>4000</v>
      </c>
      <c r="L12" s="13" t="n">
        <v>4000</v>
      </c>
      <c r="M12" s="13" t="n">
        <v>4000</v>
      </c>
      <c r="N12" s="13" t="n">
        <v>6000</v>
      </c>
      <c r="O12" s="13" t="n">
        <v>6000</v>
      </c>
      <c r="P12" s="13" t="n">
        <v>6000</v>
      </c>
      <c r="Q12" s="13" t="n">
        <v>6000</v>
      </c>
      <c r="R12" s="13" t="n">
        <v>6000</v>
      </c>
      <c r="S12" s="13" t="n">
        <v>6000</v>
      </c>
      <c r="T12" s="24">
        <f>SUM(B12:S12)</f>
        <v/>
      </c>
    </row>
    <row r="13">
      <c r="A13" s="11" t="inlineStr">
        <is>
          <t>G&amp;A / legal / auditoría</t>
        </is>
      </c>
      <c r="B13" s="7" t="n">
        <v>1000</v>
      </c>
      <c r="C13" s="7" t="n">
        <v>1000</v>
      </c>
      <c r="D13" s="7" t="n">
        <v>1000</v>
      </c>
      <c r="E13" s="7" t="n">
        <v>1000</v>
      </c>
      <c r="F13" s="7" t="n">
        <v>1000</v>
      </c>
      <c r="G13" s="7" t="n">
        <v>1000</v>
      </c>
      <c r="H13" s="7" t="n">
        <v>2500</v>
      </c>
      <c r="I13" s="7" t="n">
        <v>2500</v>
      </c>
      <c r="J13" s="7" t="n">
        <v>2500</v>
      </c>
      <c r="K13" s="7" t="n">
        <v>2500</v>
      </c>
      <c r="L13" s="7" t="n">
        <v>2500</v>
      </c>
      <c r="M13" s="7" t="n">
        <v>2500</v>
      </c>
      <c r="N13" s="7" t="n">
        <v>2500</v>
      </c>
      <c r="O13" s="7" t="n">
        <v>2500</v>
      </c>
      <c r="P13" s="7" t="n">
        <v>2500</v>
      </c>
      <c r="Q13" s="7" t="n">
        <v>2500</v>
      </c>
      <c r="R13" s="7" t="n">
        <v>2500</v>
      </c>
      <c r="S13" s="7" t="n">
        <v>2500</v>
      </c>
      <c r="T13" s="22">
        <f>SUM(B13:S13)</f>
        <v/>
      </c>
    </row>
    <row r="14">
      <c r="A14" s="16" t="inlineStr">
        <is>
          <t>EBITDA</t>
        </is>
      </c>
      <c r="B14" s="17">
        <f>B7-SUM(B9:B13)</f>
        <v/>
      </c>
      <c r="C14" s="17">
        <f>C7-SUM(C9:C13)</f>
        <v/>
      </c>
      <c r="D14" s="17">
        <f>D7-SUM(D9:D13)</f>
        <v/>
      </c>
      <c r="E14" s="17">
        <f>E7-SUM(E9:E13)</f>
        <v/>
      </c>
      <c r="F14" s="17">
        <f>F7-SUM(F9:F13)</f>
        <v/>
      </c>
      <c r="G14" s="17">
        <f>G7-SUM(G9:G13)</f>
        <v/>
      </c>
      <c r="H14" s="17">
        <f>H7-SUM(H9:H13)</f>
        <v/>
      </c>
      <c r="I14" s="17">
        <f>I7-SUM(I9:I13)</f>
        <v/>
      </c>
      <c r="J14" s="17">
        <f>J7-SUM(J9:J13)</f>
        <v/>
      </c>
      <c r="K14" s="17">
        <f>K7-SUM(K9:K13)</f>
        <v/>
      </c>
      <c r="L14" s="17">
        <f>L7-SUM(L9:L13)</f>
        <v/>
      </c>
      <c r="M14" s="17">
        <f>M7-SUM(M9:M13)</f>
        <v/>
      </c>
      <c r="N14" s="17">
        <f>N7-SUM(N9:N13)</f>
        <v/>
      </c>
      <c r="O14" s="17">
        <f>O7-SUM(O9:O13)</f>
        <v/>
      </c>
      <c r="P14" s="17">
        <f>P7-SUM(P9:P13)</f>
        <v/>
      </c>
      <c r="Q14" s="17">
        <f>Q7-SUM(Q9:Q13)</f>
        <v/>
      </c>
      <c r="R14" s="17">
        <f>R7-SUM(R9:R13)</f>
        <v/>
      </c>
      <c r="S14" s="17">
        <f>S7-SUM(S9:S13)</f>
        <v/>
      </c>
      <c r="T14" s="17">
        <f>SUM(B14:S14)</f>
        <v/>
      </c>
    </row>
    <row r="15">
      <c r="A15" s="11" t="inlineStr">
        <is>
          <t>% EBITDA</t>
        </is>
      </c>
      <c r="B15" s="14">
        <f>IFERROR(B14/B5,0)</f>
        <v/>
      </c>
      <c r="C15" s="14">
        <f>IFERROR(C14/C5,0)</f>
        <v/>
      </c>
      <c r="D15" s="14">
        <f>IFERROR(D14/D5,0)</f>
        <v/>
      </c>
      <c r="E15" s="14">
        <f>IFERROR(E14/E5,0)</f>
        <v/>
      </c>
      <c r="F15" s="14">
        <f>IFERROR(F14/F5,0)</f>
        <v/>
      </c>
      <c r="G15" s="14">
        <f>IFERROR(G14/G5,0)</f>
        <v/>
      </c>
      <c r="H15" s="14">
        <f>IFERROR(H14/H5,0)</f>
        <v/>
      </c>
      <c r="I15" s="14">
        <f>IFERROR(I14/I5,0)</f>
        <v/>
      </c>
      <c r="J15" s="14">
        <f>IFERROR(J14/J5,0)</f>
        <v/>
      </c>
      <c r="K15" s="14">
        <f>IFERROR(K14/K5,0)</f>
        <v/>
      </c>
      <c r="L15" s="14">
        <f>IFERROR(L14/L5,0)</f>
        <v/>
      </c>
      <c r="M15" s="14">
        <f>IFERROR(M14/M5,0)</f>
        <v/>
      </c>
      <c r="N15" s="14">
        <f>IFERROR(N14/N5,0)</f>
        <v/>
      </c>
      <c r="O15" s="14">
        <f>IFERROR(O14/O5,0)</f>
        <v/>
      </c>
      <c r="P15" s="14">
        <f>IFERROR(P14/P5,0)</f>
        <v/>
      </c>
      <c r="Q15" s="14">
        <f>IFERROR(Q14/Q5,0)</f>
        <v/>
      </c>
      <c r="R15" s="14">
        <f>IFERROR(R14/R5,0)</f>
        <v/>
      </c>
      <c r="S15" s="14">
        <f>IFERROR(S14/S5,0)</f>
        <v/>
      </c>
      <c r="T15" s="14">
        <f>IFERROR(T14/T5,0)</f>
        <v/>
      </c>
    </row>
  </sheetData>
  <mergeCells count="2">
    <mergeCell ref="A1:T1"/>
    <mergeCell ref="A2:T2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T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Caja mensual</t>
        </is>
      </c>
    </row>
    <row r="2" ht="22" customHeight="1">
      <c r="A2" s="2" t="inlineStr">
        <is>
          <t>Capital 300k + cobros + pagos operativos. Objetivo: autosostenibilidad con recursos propios durante 2027.</t>
        </is>
      </c>
    </row>
    <row r="4" ht="24" customHeight="1">
      <c r="A4" s="10" t="inlineStr">
        <is>
          <t>Concepto</t>
        </is>
      </c>
      <c r="B4" s="10" t="inlineStr">
        <is>
          <t>Jul-26</t>
        </is>
      </c>
      <c r="C4" s="10" t="inlineStr">
        <is>
          <t>Ago-26</t>
        </is>
      </c>
      <c r="D4" s="10" t="inlineStr">
        <is>
          <t>Sep-26</t>
        </is>
      </c>
      <c r="E4" s="10" t="inlineStr">
        <is>
          <t>Oct-26</t>
        </is>
      </c>
      <c r="F4" s="10" t="inlineStr">
        <is>
          <t>Nov-26</t>
        </is>
      </c>
      <c r="G4" s="10" t="inlineStr">
        <is>
          <t>Dic-26</t>
        </is>
      </c>
      <c r="H4" s="10" t="inlineStr">
        <is>
          <t>Ene-27</t>
        </is>
      </c>
      <c r="I4" s="10" t="inlineStr">
        <is>
          <t>Feb-27</t>
        </is>
      </c>
      <c r="J4" s="10" t="inlineStr">
        <is>
          <t>Mar-27</t>
        </is>
      </c>
      <c r="K4" s="10" t="inlineStr">
        <is>
          <t>Abr-27</t>
        </is>
      </c>
      <c r="L4" s="10" t="inlineStr">
        <is>
          <t>May-27</t>
        </is>
      </c>
      <c r="M4" s="10" t="inlineStr">
        <is>
          <t>Jun-27</t>
        </is>
      </c>
      <c r="N4" s="10" t="inlineStr">
        <is>
          <t>Jul-27</t>
        </is>
      </c>
      <c r="O4" s="10" t="inlineStr">
        <is>
          <t>Ago-27</t>
        </is>
      </c>
      <c r="P4" s="10" t="inlineStr">
        <is>
          <t>Sep-27</t>
        </is>
      </c>
      <c r="Q4" s="10" t="inlineStr">
        <is>
          <t>Oct-27</t>
        </is>
      </c>
      <c r="R4" s="10" t="inlineStr">
        <is>
          <t>Nov-27</t>
        </is>
      </c>
      <c r="S4" s="10" t="inlineStr">
        <is>
          <t>Dic-27</t>
        </is>
      </c>
      <c r="T4" s="10" t="inlineStr">
        <is>
          <t>Total</t>
        </is>
      </c>
    </row>
    <row r="5">
      <c r="A5" s="11" t="inlineStr">
        <is>
          <t>Caja inicial</t>
        </is>
      </c>
      <c r="B5" s="7" t="n">
        <v>0</v>
      </c>
      <c r="C5" s="22">
        <f>B10</f>
        <v/>
      </c>
      <c r="D5" s="22">
        <f>C10</f>
        <v/>
      </c>
      <c r="E5" s="22">
        <f>D10</f>
        <v/>
      </c>
      <c r="F5" s="22">
        <f>E10</f>
        <v/>
      </c>
      <c r="G5" s="22">
        <f>F10</f>
        <v/>
      </c>
      <c r="H5" s="22">
        <f>G10</f>
        <v/>
      </c>
      <c r="I5" s="22">
        <f>H10</f>
        <v/>
      </c>
      <c r="J5" s="22">
        <f>I10</f>
        <v/>
      </c>
      <c r="K5" s="22">
        <f>J10</f>
        <v/>
      </c>
      <c r="L5" s="22">
        <f>K10</f>
        <v/>
      </c>
      <c r="M5" s="22">
        <f>L10</f>
        <v/>
      </c>
      <c r="N5" s="22">
        <f>M10</f>
        <v/>
      </c>
      <c r="O5" s="22">
        <f>N10</f>
        <v/>
      </c>
      <c r="P5" s="22">
        <f>O10</f>
        <v/>
      </c>
      <c r="Q5" s="22">
        <f>P10</f>
        <v/>
      </c>
      <c r="R5" s="22">
        <f>Q10</f>
        <v/>
      </c>
      <c r="S5" s="22">
        <f>R10</f>
        <v/>
      </c>
      <c r="T5" s="22">
        <f>S5</f>
        <v/>
      </c>
    </row>
    <row r="6">
      <c r="A6" s="12" t="inlineStr">
        <is>
          <t>Aportación capital 300k</t>
        </is>
      </c>
      <c r="B6" s="13" t="n">
        <v>300000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24">
        <f>SUM(B6:S6)</f>
        <v/>
      </c>
    </row>
    <row r="7">
      <c r="A7" s="11" t="inlineStr">
        <is>
          <t>Cobros de clientes</t>
        </is>
      </c>
      <c r="B7" s="25">
        <f>'11_Ingresos_2026_2027'!D$14</f>
        <v/>
      </c>
      <c r="C7" s="25">
        <f>'11_Ingresos_2026_2027'!E$14</f>
        <v/>
      </c>
      <c r="D7" s="25">
        <f>'11_Ingresos_2026_2027'!F$14</f>
        <v/>
      </c>
      <c r="E7" s="25">
        <f>'11_Ingresos_2026_2027'!G$14</f>
        <v/>
      </c>
      <c r="F7" s="25">
        <f>'11_Ingresos_2026_2027'!H$14</f>
        <v/>
      </c>
      <c r="G7" s="25">
        <f>'11_Ingresos_2026_2027'!I$14</f>
        <v/>
      </c>
      <c r="H7" s="25">
        <f>'11_Ingresos_2026_2027'!J$14</f>
        <v/>
      </c>
      <c r="I7" s="25">
        <f>'11_Ingresos_2026_2027'!K$14</f>
        <v/>
      </c>
      <c r="J7" s="25">
        <f>'11_Ingresos_2026_2027'!L$14</f>
        <v/>
      </c>
      <c r="K7" s="25">
        <f>'11_Ingresos_2026_2027'!M$14</f>
        <v/>
      </c>
      <c r="L7" s="25">
        <f>'11_Ingresos_2026_2027'!N$14</f>
        <v/>
      </c>
      <c r="M7" s="25">
        <f>'11_Ingresos_2026_2027'!O$14</f>
        <v/>
      </c>
      <c r="N7" s="25">
        <f>'11_Ingresos_2026_2027'!P$14</f>
        <v/>
      </c>
      <c r="O7" s="25">
        <f>'11_Ingresos_2026_2027'!Q$14</f>
        <v/>
      </c>
      <c r="P7" s="25">
        <f>'11_Ingresos_2026_2027'!R$14</f>
        <v/>
      </c>
      <c r="Q7" s="25">
        <f>'11_Ingresos_2026_2027'!S$14</f>
        <v/>
      </c>
      <c r="R7" s="25">
        <f>'11_Ingresos_2026_2027'!T$14</f>
        <v/>
      </c>
      <c r="S7" s="25">
        <f>'11_Ingresos_2026_2027'!U$14</f>
        <v/>
      </c>
      <c r="T7" s="22">
        <f>SUM(B7:S7)</f>
        <v/>
      </c>
    </row>
    <row r="8">
      <c r="A8" s="12" t="inlineStr">
        <is>
          <t>Uso de fondos 300k</t>
        </is>
      </c>
      <c r="B8" s="13" t="n">
        <v>65000</v>
      </c>
      <c r="C8" s="13" t="n">
        <v>55000</v>
      </c>
      <c r="D8" s="13" t="n">
        <v>60000</v>
      </c>
      <c r="E8" s="13" t="n">
        <v>45000</v>
      </c>
      <c r="F8" s="13" t="n">
        <v>40000</v>
      </c>
      <c r="G8" s="13" t="n">
        <v>35000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0</v>
      </c>
      <c r="T8" s="24">
        <f>SUM(B8:S8)</f>
        <v/>
      </c>
    </row>
    <row r="9">
      <c r="A9" s="11" t="inlineStr">
        <is>
          <t>Costes operativos 2027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25">
        <f>'12_Cuenta_Resultados'!H6+SUM('12_Cuenta_Resultados'!H9:H13)</f>
        <v/>
      </c>
      <c r="I9" s="25">
        <f>'12_Cuenta_Resultados'!I6+SUM('12_Cuenta_Resultados'!I9:I13)</f>
        <v/>
      </c>
      <c r="J9" s="25">
        <f>'12_Cuenta_Resultados'!J6+SUM('12_Cuenta_Resultados'!J9:J13)</f>
        <v/>
      </c>
      <c r="K9" s="25">
        <f>'12_Cuenta_Resultados'!K6+SUM('12_Cuenta_Resultados'!K9:K13)</f>
        <v/>
      </c>
      <c r="L9" s="25">
        <f>'12_Cuenta_Resultados'!L6+SUM('12_Cuenta_Resultados'!L9:L13)</f>
        <v/>
      </c>
      <c r="M9" s="25">
        <f>'12_Cuenta_Resultados'!M6+SUM('12_Cuenta_Resultados'!M9:M13)</f>
        <v/>
      </c>
      <c r="N9" s="25">
        <f>'12_Cuenta_Resultados'!N6+SUM('12_Cuenta_Resultados'!N9:N13)</f>
        <v/>
      </c>
      <c r="O9" s="25">
        <f>'12_Cuenta_Resultados'!O6+SUM('12_Cuenta_Resultados'!O9:O13)</f>
        <v/>
      </c>
      <c r="P9" s="25">
        <f>'12_Cuenta_Resultados'!P6+SUM('12_Cuenta_Resultados'!P9:P13)</f>
        <v/>
      </c>
      <c r="Q9" s="25">
        <f>'12_Cuenta_Resultados'!Q6+SUM('12_Cuenta_Resultados'!Q9:Q13)</f>
        <v/>
      </c>
      <c r="R9" s="25">
        <f>'12_Cuenta_Resultados'!R6+SUM('12_Cuenta_Resultados'!R9:R13)</f>
        <v/>
      </c>
      <c r="S9" s="25">
        <f>'12_Cuenta_Resultados'!S6+SUM('12_Cuenta_Resultados'!S9:S13)</f>
        <v/>
      </c>
      <c r="T9" s="22">
        <f>SUM(B9:S9)</f>
        <v/>
      </c>
    </row>
    <row r="10">
      <c r="A10" s="19" t="inlineStr">
        <is>
          <t>Caja final</t>
        </is>
      </c>
      <c r="B10" s="20">
        <f>B5+B6+B7-B8-B9</f>
        <v/>
      </c>
      <c r="C10" s="20">
        <f>C5+C6+C7-C8-C9</f>
        <v/>
      </c>
      <c r="D10" s="20">
        <f>D5+D6+D7-D8-D9</f>
        <v/>
      </c>
      <c r="E10" s="20">
        <f>E5+E6+E7-E8-E9</f>
        <v/>
      </c>
      <c r="F10" s="20">
        <f>F5+F6+F7-F8-F9</f>
        <v/>
      </c>
      <c r="G10" s="20">
        <f>G5+G6+G7-G8-G9</f>
        <v/>
      </c>
      <c r="H10" s="20">
        <f>H5+H6+H7-H8-H9</f>
        <v/>
      </c>
      <c r="I10" s="20">
        <f>I5+I6+I7-I8-I9</f>
        <v/>
      </c>
      <c r="J10" s="20">
        <f>J5+J6+J7-J8-J9</f>
        <v/>
      </c>
      <c r="K10" s="20">
        <f>K5+K6+K7-K8-K9</f>
        <v/>
      </c>
      <c r="L10" s="20">
        <f>L5+L6+L7-L8-L9</f>
        <v/>
      </c>
      <c r="M10" s="20">
        <f>M5+M6+M7-M8-M9</f>
        <v/>
      </c>
      <c r="N10" s="20">
        <f>N5+N6+N7-N8-N9</f>
        <v/>
      </c>
      <c r="O10" s="20">
        <f>O5+O6+O7-O8-O9</f>
        <v/>
      </c>
      <c r="P10" s="20">
        <f>P5+P6+P7-P8-P9</f>
        <v/>
      </c>
      <c r="Q10" s="20">
        <f>Q5+Q6+Q7-Q8-Q9</f>
        <v/>
      </c>
      <c r="R10" s="20">
        <f>R5+R6+R7-R8-R9</f>
        <v/>
      </c>
      <c r="S10" s="20">
        <f>S5+S6+S7-S8-S9</f>
        <v/>
      </c>
      <c r="T10" s="20">
        <f>S10</f>
        <v/>
      </c>
    </row>
    <row r="11">
      <c r="A11" s="11" t="inlineStr">
        <is>
          <t>Caja mínima objetivo</t>
        </is>
      </c>
      <c r="B11" s="7" t="n">
        <v>15000</v>
      </c>
      <c r="C11" s="7" t="n">
        <v>15000</v>
      </c>
      <c r="D11" s="7" t="n">
        <v>15000</v>
      </c>
      <c r="E11" s="7" t="n">
        <v>15000</v>
      </c>
      <c r="F11" s="7" t="n">
        <v>15000</v>
      </c>
      <c r="G11" s="7" t="n">
        <v>15000</v>
      </c>
      <c r="H11" s="7" t="n">
        <v>15000</v>
      </c>
      <c r="I11" s="7" t="n">
        <v>15000</v>
      </c>
      <c r="J11" s="7" t="n">
        <v>15000</v>
      </c>
      <c r="K11" s="7" t="n">
        <v>15000</v>
      </c>
      <c r="L11" s="7" t="n">
        <v>15000</v>
      </c>
      <c r="M11" s="7" t="n">
        <v>15000</v>
      </c>
      <c r="N11" s="7" t="n">
        <v>15000</v>
      </c>
      <c r="O11" s="7" t="n">
        <v>15000</v>
      </c>
      <c r="P11" s="7" t="n">
        <v>15000</v>
      </c>
      <c r="Q11" s="7" t="n">
        <v>15000</v>
      </c>
      <c r="R11" s="7" t="n">
        <v>15000</v>
      </c>
      <c r="S11" s="7" t="n">
        <v>15000</v>
      </c>
      <c r="T11" s="22">
        <f>S11</f>
        <v/>
      </c>
    </row>
    <row r="12">
      <c r="A12" s="16" t="inlineStr">
        <is>
          <t>Gap / colchón</t>
        </is>
      </c>
      <c r="B12" s="17">
        <f>B10-B11</f>
        <v/>
      </c>
      <c r="C12" s="17">
        <f>C10-C11</f>
        <v/>
      </c>
      <c r="D12" s="17">
        <f>D10-D11</f>
        <v/>
      </c>
      <c r="E12" s="17">
        <f>E10-E11</f>
        <v/>
      </c>
      <c r="F12" s="17">
        <f>F10-F11</f>
        <v/>
      </c>
      <c r="G12" s="17">
        <f>G10-G11</f>
        <v/>
      </c>
      <c r="H12" s="17">
        <f>H10-H11</f>
        <v/>
      </c>
      <c r="I12" s="17">
        <f>I10-I11</f>
        <v/>
      </c>
      <c r="J12" s="17">
        <f>J10-J11</f>
        <v/>
      </c>
      <c r="K12" s="17">
        <f>K10-K11</f>
        <v/>
      </c>
      <c r="L12" s="17">
        <f>L10-L11</f>
        <v/>
      </c>
      <c r="M12" s="17">
        <f>M10-M11</f>
        <v/>
      </c>
      <c r="N12" s="17">
        <f>N10-N11</f>
        <v/>
      </c>
      <c r="O12" s="17">
        <f>O10-O11</f>
        <v/>
      </c>
      <c r="P12" s="17">
        <f>P10-P11</f>
        <v/>
      </c>
      <c r="Q12" s="17">
        <f>Q10-Q11</f>
        <v/>
      </c>
      <c r="R12" s="17">
        <f>R10-R11</f>
        <v/>
      </c>
      <c r="S12" s="17">
        <f>S10-S11</f>
        <v/>
      </c>
      <c r="T12" s="17">
        <f>S12</f>
        <v/>
      </c>
    </row>
  </sheetData>
  <mergeCells count="2">
    <mergeCell ref="A1:T1"/>
    <mergeCell ref="A2:T2"/>
  </mergeCells>
  <conditionalFormatting sqref="B12:S12">
    <cfRule type="cellIs" priority="1" operator="lessThan" dxfId="0">
      <formula>0</formula>
    </cfRule>
  </conditionalFormatting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38" customWidth="1" min="4" max="4"/>
    <col width="30" customWidth="1" min="5" max="5"/>
    <col width="32" customWidth="1" min="6" max="6"/>
    <col width="30" customWidth="1" min="7" max="7"/>
    <col width="26" customWidth="1" min="8" max="8"/>
    <col width="24" customWidth="1" min="9" max="9"/>
    <col width="22" customWidth="1" min="10" max="10"/>
  </cols>
  <sheetData>
    <row r="1" ht="30" customHeight="1">
      <c r="A1" s="1" t="inlineStr">
        <is>
          <t>Modelo Hub OADAC / Valeriano / Medhi</t>
        </is>
      </c>
    </row>
    <row r="2" ht="22" customHeight="1">
      <c r="A2" s="2" t="inlineStr">
        <is>
          <t>Nodo industrial ligero, faseado y orientado a ventas: no sobredimensionar antes de contratos</t>
        </is>
      </c>
    </row>
    <row r="4" ht="24" customHeight="1">
      <c r="A4" s="10" t="inlineStr">
        <is>
          <t>Capa</t>
        </is>
      </c>
      <c r="B4" s="10" t="inlineStr">
        <is>
          <t>Actor</t>
        </is>
      </c>
      <c r="C4" s="10" t="inlineStr">
        <is>
          <t>Aporta</t>
        </is>
      </c>
      <c r="D4" s="10" t="inlineStr">
        <is>
          <t>CUEVA/OADAC aporta</t>
        </is>
      </c>
      <c r="E4" s="10" t="inlineStr">
        <is>
          <t>Objetivo 2026</t>
        </is>
      </c>
      <c r="F4" s="10" t="inlineStr">
        <is>
          <t>Objetivo 2027</t>
        </is>
      </c>
      <c r="G4" s="10" t="inlineStr">
        <is>
          <t>Modelo económico</t>
        </is>
      </c>
      <c r="H4" s="10" t="inlineStr">
        <is>
          <t>Riesgo</t>
        </is>
      </c>
      <c r="I4" s="10" t="inlineStr">
        <is>
          <t>Gate</t>
        </is>
      </c>
      <c r="J4" s="10" t="inlineStr">
        <is>
          <t>Evidencia</t>
        </is>
      </c>
    </row>
    <row r="5">
      <c r="A5" s="11" t="inlineStr">
        <is>
          <t>Instalaciones</t>
        </is>
      </c>
      <c r="B5" s="11" t="inlineStr">
        <is>
          <t>Valeriano Alles</t>
        </is>
      </c>
      <c r="C5" s="11" t="inlineStr">
        <is>
          <t>Naves, pistas, campas, hormigón, excavaciones, camiones, grúa</t>
        </is>
      </c>
      <c r="D5" s="11" t="inlineStr">
        <is>
          <t>Método, producto, DPP/POI, operación comercial</t>
        </is>
      </c>
      <c r="E5" s="11" t="inlineStr">
        <is>
          <t>Acuerdo marco + layout showroom</t>
        </is>
      </c>
      <c r="F5" s="11" t="inlineStr">
        <is>
          <t>Nodo Menorca operativo para proyectos</t>
        </is>
      </c>
      <c r="G5" s="11" t="inlineStr">
        <is>
          <t>Pago/uso por proyecto o acuerdo de colaboración</t>
        </is>
      </c>
      <c r="H5" s="11" t="inlineStr">
        <is>
          <t>Invertir sin contratos</t>
        </is>
      </c>
      <c r="I5" s="11" t="inlineStr">
        <is>
          <t>Acuerdo firmado</t>
        </is>
      </c>
      <c r="J5" s="11" t="inlineStr">
        <is>
          <t>Contrato/LOI</t>
        </is>
      </c>
    </row>
    <row r="6">
      <c r="A6" s="12" t="inlineStr">
        <is>
          <t>Personal</t>
        </is>
      </c>
      <c r="B6" s="12" t="inlineStr">
        <is>
          <t>Medhi / Bini Aida</t>
        </is>
      </c>
      <c r="C6" s="12" t="inlineStr">
        <is>
          <t>Equipo humano y capacidad de montaje/terminaciones</t>
        </is>
      </c>
      <c r="D6" s="12" t="inlineStr">
        <is>
          <t>Integración OADAC, pipeline y metodología</t>
        </is>
      </c>
      <c r="E6" s="12" t="inlineStr">
        <is>
          <t>Reconversión 10k deuda en 8% OADAC</t>
        </is>
      </c>
      <c r="F6" s="12" t="inlineStr">
        <is>
          <t>Partner estratégico personal Menorca</t>
        </is>
      </c>
      <c r="G6" s="12" t="inlineStr">
        <is>
          <t>Participación + contratación por proyecto</t>
        </is>
      </c>
      <c r="H6" s="12" t="inlineStr">
        <is>
          <t>Confusión proveedor/socio</t>
        </is>
      </c>
      <c r="I6" s="12" t="inlineStr">
        <is>
          <t>Pacto socios OADAC</t>
        </is>
      </c>
      <c r="J6" s="12" t="inlineStr">
        <is>
          <t>Acuerdo societario</t>
        </is>
      </c>
    </row>
    <row r="7">
      <c r="A7" s="11" t="inlineStr">
        <is>
          <t>Tecnología</t>
        </is>
      </c>
      <c r="B7" s="11" t="inlineStr">
        <is>
          <t>CUEVA</t>
        </is>
      </c>
      <c r="C7" s="11" t="inlineStr">
        <is>
          <t>CUEVA OS, DPP, POI, interfaces, trazabilidad</t>
        </is>
      </c>
      <c r="D7" s="11" t="inlineStr">
        <is>
          <t>Licencia y control de producto</t>
        </is>
      </c>
      <c r="E7" s="11" t="inlineStr">
        <is>
          <t>Demo y stack estable</t>
        </is>
      </c>
      <c r="F7" s="11" t="inlineStr">
        <is>
          <t>Producto escalable multi-cliente</t>
        </is>
      </c>
      <c r="G7" s="11" t="inlineStr">
        <is>
          <t>Licencia/fee/servicio por proyecto</t>
        </is>
      </c>
      <c r="H7" s="11" t="inlineStr">
        <is>
          <t>Sobredesarrollo</t>
        </is>
      </c>
      <c r="I7" s="11" t="inlineStr">
        <is>
          <t>Release comercial</t>
        </is>
      </c>
      <c r="J7" s="11" t="inlineStr">
        <is>
          <t>Demo auditada</t>
        </is>
      </c>
    </row>
    <row r="8">
      <c r="A8" s="12" t="inlineStr">
        <is>
          <t>Cliente/promotor</t>
        </is>
      </c>
      <c r="B8" s="12" t="inlineStr">
        <is>
          <t>Tash / promotoras</t>
        </is>
      </c>
      <c r="C8" s="12" t="inlineStr">
        <is>
          <t>Pipeline de proyectos y arquitectura</t>
        </is>
      </c>
      <c r="D8" s="12" t="inlineStr">
        <is>
          <t>Industrialización y ejecución</t>
        </is>
      </c>
      <c r="E8" s="12" t="inlineStr">
        <is>
          <t>Llar de Mar 2 preparado</t>
        </is>
      </c>
      <c r="F8" s="12" t="inlineStr">
        <is>
          <t>Casos replicables</t>
        </is>
      </c>
      <c r="G8" s="12" t="inlineStr">
        <is>
          <t>Margen obra + fees tecnología</t>
        </is>
      </c>
      <c r="H8" s="12" t="inlineStr">
        <is>
          <t>Dependencia de un cliente</t>
        </is>
      </c>
      <c r="I8" s="12" t="inlineStr">
        <is>
          <t>Contrato/anticipo</t>
        </is>
      </c>
      <c r="J8" s="12" t="inlineStr">
        <is>
          <t>Contrato</t>
        </is>
      </c>
    </row>
    <row r="9">
      <c r="A9" s="11" t="inlineStr">
        <is>
          <t>Mercado</t>
        </is>
      </c>
      <c r="B9" s="11" t="inlineStr">
        <is>
          <t>Ayuntamientos/promotoras/constructoras</t>
        </is>
      </c>
      <c r="C9" s="11" t="inlineStr">
        <is>
          <t>Demanda local y proyectos</t>
        </is>
      </c>
      <c r="D9" s="11" t="inlineStr">
        <is>
          <t>Oferta integral CUEVA/OADAC</t>
        </is>
      </c>
      <c r="E9" s="11" t="inlineStr">
        <is>
          <t>Salida comercial septiembre</t>
        </is>
      </c>
      <c r="F9" s="11" t="inlineStr">
        <is>
          <t>Embudo comercial estable</t>
        </is>
      </c>
      <c r="G9" s="11" t="inlineStr">
        <is>
          <t>Servicios + implementación + licencias</t>
        </is>
      </c>
      <c r="H9" s="11" t="inlineStr">
        <is>
          <t>Baja conversión</t>
        </is>
      </c>
      <c r="I9" s="11" t="inlineStr">
        <is>
          <t>CRM semanal</t>
        </is>
      </c>
      <c r="J9" s="11" t="inlineStr">
        <is>
          <t>CRM</t>
        </is>
      </c>
    </row>
  </sheetData>
  <mergeCells count="2">
    <mergeCell ref="A1:J1"/>
    <mergeCell ref="A2:J2"/>
  </mergeCells>
  <pageMargins left="0.25" right="0.25" top="0.5" bottom="0.5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22" customWidth="1" min="4" max="4"/>
    <col width="34" customWidth="1" min="5" max="5"/>
    <col width="34" customWidth="1" min="6" max="6"/>
    <col width="16" customWidth="1" min="7" max="7"/>
    <col width="16" customWidth="1" min="8" max="8"/>
    <col width="24" customWidth="1" min="9" max="9"/>
    <col width="24" customWidth="1" min="10" max="10"/>
    <col width="14" customWidth="1" min="11" max="11"/>
  </cols>
  <sheetData>
    <row r="1" ht="30" customHeight="1">
      <c r="A1" s="1" t="inlineStr">
        <is>
          <t>Mapa de relaciones estratégicas</t>
        </is>
      </c>
    </row>
    <row r="2" ht="22" customHeight="1">
      <c r="A2" s="2" t="inlineStr">
        <is>
          <t>Relaciones separadas por naturaleza: cliente, socio, proveedor, certificador, industrial, canal</t>
        </is>
      </c>
    </row>
    <row r="4" ht="24" customHeight="1">
      <c r="A4" s="10" t="inlineStr">
        <is>
          <t>Actor</t>
        </is>
      </c>
      <c r="B4" s="10" t="inlineStr">
        <is>
          <t>Tipo relación</t>
        </is>
      </c>
      <c r="C4" s="10" t="inlineStr">
        <is>
          <t>Línea conectada</t>
        </is>
      </c>
      <c r="D4" s="10" t="inlineStr">
        <is>
          <t>Responsable CUEVA</t>
        </is>
      </c>
      <c r="E4" s="10" t="inlineStr">
        <is>
          <t>Aporta</t>
        </is>
      </c>
      <c r="F4" s="10" t="inlineStr">
        <is>
          <t>CUEVA aporta</t>
        </is>
      </c>
      <c r="G4" s="10" t="inlineStr">
        <is>
          <t>Estado</t>
        </is>
      </c>
      <c r="H4" s="10" t="inlineStr">
        <is>
          <t>Valor estratégico</t>
        </is>
      </c>
      <c r="I4" s="10" t="inlineStr">
        <is>
          <t>Riesgo</t>
        </is>
      </c>
      <c r="J4" s="10" t="inlineStr">
        <is>
          <t>Siguiente hito</t>
        </is>
      </c>
      <c r="K4" s="10" t="inlineStr">
        <is>
          <t>Fecha objetivo</t>
        </is>
      </c>
    </row>
    <row r="5">
      <c r="A5" s="11" t="inlineStr">
        <is>
          <t>Tash &amp; Partners</t>
        </is>
      </c>
      <c r="B5" s="11" t="inlineStr">
        <is>
          <t>Cliente / arquitectura / pipeline</t>
        </is>
      </c>
      <c r="C5" s="11" t="inlineStr">
        <is>
          <t>Llar de Mar 2 / proyectos Baleares</t>
        </is>
      </c>
      <c r="D5" s="11" t="inlineStr">
        <is>
          <t>Luis + Ángel</t>
        </is>
      </c>
      <c r="E5" s="11" t="inlineStr">
        <is>
          <t>Proyectos, arquitectura, promotor</t>
        </is>
      </c>
      <c r="F5" s="11" t="inlineStr">
        <is>
          <t>Modelo industrializado y ejecución OADAC</t>
        </is>
      </c>
      <c r="G5" s="11" t="inlineStr">
        <is>
          <t>Activo</t>
        </is>
      </c>
      <c r="H5" s="11" t="inlineStr">
        <is>
          <t>Muy alto</t>
        </is>
      </c>
      <c r="I5" s="11" t="inlineStr">
        <is>
          <t>Dependencia comercial</t>
        </is>
      </c>
      <c r="J5" s="11" t="inlineStr">
        <is>
          <t>Definir Llar de Mar 2</t>
        </is>
      </c>
      <c r="K5" s="11" t="inlineStr">
        <is>
          <t>Q4-26</t>
        </is>
      </c>
    </row>
    <row r="6">
      <c r="A6" s="12" t="inlineStr">
        <is>
          <t>Valeriano Alles</t>
        </is>
      </c>
      <c r="B6" s="12" t="inlineStr">
        <is>
          <t>Partner industrial local</t>
        </is>
      </c>
      <c r="C6" s="12" t="inlineStr">
        <is>
          <t>Hub Menorca</t>
        </is>
      </c>
      <c r="D6" s="12" t="inlineStr">
        <is>
          <t>Luis</t>
        </is>
      </c>
      <c r="E6" s="12" t="inlineStr">
        <is>
          <t>Instalaciones y medios industriales</t>
        </is>
      </c>
      <c r="F6" s="12" t="inlineStr">
        <is>
          <t>Tecnología, método, operación</t>
        </is>
      </c>
      <c r="G6" s="12" t="inlineStr">
        <is>
          <t>Activo</t>
        </is>
      </c>
      <c r="H6" s="12" t="inlineStr">
        <is>
          <t>Muy alto</t>
        </is>
      </c>
      <c r="I6" s="12" t="inlineStr">
        <is>
          <t>Acuerdo no formalizado</t>
        </is>
      </c>
      <c r="J6" s="12" t="inlineStr">
        <is>
          <t>Firmar marco hub</t>
        </is>
      </c>
      <c r="K6" s="12" t="inlineStr">
        <is>
          <t>Q3-26</t>
        </is>
      </c>
    </row>
    <row r="7">
      <c r="A7" s="11" t="inlineStr">
        <is>
          <t>Medhi / Bini Aida</t>
        </is>
      </c>
      <c r="B7" s="11" t="inlineStr">
        <is>
          <t>Partner personal / socio OADAC</t>
        </is>
      </c>
      <c r="C7" s="11" t="inlineStr">
        <is>
          <t>Menorca / montaje / terminaciones</t>
        </is>
      </c>
      <c r="D7" s="11" t="inlineStr">
        <is>
          <t>Luis + Ángel</t>
        </is>
      </c>
      <c r="E7" s="11" t="inlineStr">
        <is>
          <t>Personal y capacidad ejecución</t>
        </is>
      </c>
      <c r="F7" s="11" t="inlineStr">
        <is>
          <t>Participación 8% OADAC + proyectos</t>
        </is>
      </c>
      <c r="G7" s="11" t="inlineStr">
        <is>
          <t>Pendiente pacto</t>
        </is>
      </c>
      <c r="H7" s="11" t="inlineStr">
        <is>
          <t>Muy alto</t>
        </is>
      </c>
      <c r="I7" s="11" t="inlineStr">
        <is>
          <t>Gobierno societario</t>
        </is>
      </c>
      <c r="J7" s="11" t="inlineStr">
        <is>
          <t>Formalizar 8%</t>
        </is>
      </c>
      <c r="K7" s="11" t="inlineStr">
        <is>
          <t>Q3-26</t>
        </is>
      </c>
    </row>
    <row r="8">
      <c r="A8" s="12" t="inlineStr">
        <is>
          <t>Logistik / José Luis Campos</t>
        </is>
      </c>
      <c r="B8" s="12" t="inlineStr">
        <is>
          <t>Cliente industrial / posible socio</t>
        </is>
      </c>
      <c r="C8" s="12" t="inlineStr">
        <is>
          <t>CUEVA OS industrial</t>
        </is>
      </c>
      <c r="D8" s="12" t="inlineStr">
        <is>
          <t>Luis + Ángel</t>
        </is>
      </c>
      <c r="E8" s="12" t="inlineStr">
        <is>
          <t>Capacidad industrial y mercado</t>
        </is>
      </c>
      <c r="F8" s="12" t="inlineStr">
        <is>
          <t>Software, método, trazabilidad</t>
        </is>
      </c>
      <c r="G8" s="12" t="inlineStr">
        <is>
          <t>Negociación</t>
        </is>
      </c>
      <c r="H8" s="12" t="inlineStr">
        <is>
          <t>Muy alto</t>
        </is>
      </c>
      <c r="I8" s="12" t="inlineStr">
        <is>
          <t>Mezclar socio/cliente</t>
        </is>
      </c>
      <c r="J8" s="12" t="inlineStr">
        <is>
          <t>Oferta cliente separada</t>
        </is>
      </c>
      <c r="K8" s="12" t="inlineStr">
        <is>
          <t>Q4-26</t>
        </is>
      </c>
    </row>
    <row r="9">
      <c r="A9" s="11" t="inlineStr">
        <is>
          <t>KIWA</t>
        </is>
      </c>
      <c r="B9" s="11" t="inlineStr">
        <is>
          <t>Certificadora / partner SaaS materia</t>
        </is>
      </c>
      <c r="C9" s="11" t="inlineStr">
        <is>
          <t>RMOOB / proyectos 450k + 800k</t>
        </is>
      </c>
      <c r="D9" s="11" t="inlineStr">
        <is>
          <t>Luis / Hernán</t>
        </is>
      </c>
      <c r="E9" s="11" t="inlineStr">
        <is>
          <t>SaaS materia, certificación, legitimidad</t>
        </is>
      </c>
      <c r="F9" s="11" t="inlineStr">
        <is>
          <t>SaaS producto, DPP/POI</t>
        </is>
      </c>
      <c r="G9" s="11" t="inlineStr">
        <is>
          <t>Objetivo</t>
        </is>
      </c>
      <c r="H9" s="11" t="inlineStr">
        <is>
          <t>Muy alto</t>
        </is>
      </c>
      <c r="I9" s="11" t="inlineStr">
        <is>
          <t>Contrato complejo</t>
        </is>
      </c>
      <c r="J9" s="11" t="inlineStr">
        <is>
          <t>LOI y alcance</t>
        </is>
      </c>
      <c r="K9" s="11" t="inlineStr">
        <is>
          <t>Q1-27</t>
        </is>
      </c>
    </row>
    <row r="10">
      <c r="A10" s="12" t="inlineStr">
        <is>
          <t>RMOOB TraceLoop</t>
        </is>
      </c>
      <c r="B10" s="12" t="inlineStr">
        <is>
          <t>Consorcio / infraestructura</t>
        </is>
      </c>
      <c r="C10" s="12" t="inlineStr">
        <is>
          <t>LIFE / infraestructura</t>
        </is>
      </c>
      <c r="D10" s="12" t="inlineStr">
        <is>
          <t>Luis</t>
        </is>
      </c>
      <c r="E10" s="12" t="inlineStr">
        <is>
          <t>Tracción UE, consorcio, casos</t>
        </is>
      </c>
      <c r="F10" s="12" t="inlineStr">
        <is>
          <t>Producto CUEVA infraestructura</t>
        </is>
      </c>
      <c r="G10" s="12" t="inlineStr">
        <is>
          <t>Activo</t>
        </is>
      </c>
      <c r="H10" s="12" t="inlineStr">
        <is>
          <t>Alto</t>
        </is>
      </c>
      <c r="I10" s="12" t="inlineStr">
        <is>
          <t>Ritmo institucional</t>
        </is>
      </c>
      <c r="J10" s="12" t="inlineStr">
        <is>
          <t>Plan técnico</t>
        </is>
      </c>
      <c r="K10" s="12" t="inlineStr">
        <is>
          <t>Q4-26</t>
        </is>
      </c>
    </row>
    <row r="11">
      <c r="A11" s="11" t="inlineStr">
        <is>
          <t>Plastic People</t>
        </is>
      </c>
      <c r="B11" s="11" t="inlineStr">
        <is>
          <t>Partner material/plástico</t>
        </is>
      </c>
      <c r="C11" s="11" t="inlineStr">
        <is>
          <t>Moolde</t>
        </is>
      </c>
      <c r="D11" s="11" t="inlineStr">
        <is>
          <t>Luis / Hernán</t>
        </is>
      </c>
      <c r="E11" s="11" t="inlineStr">
        <is>
          <t>Material reciclado, circularidad</t>
        </is>
      </c>
      <c r="F11" s="11" t="inlineStr">
        <is>
          <t>Producto CUEVA, sensórica, modelo</t>
        </is>
      </c>
      <c r="G11" s="11" t="inlineStr">
        <is>
          <t>Activo</t>
        </is>
      </c>
      <c r="H11" s="11" t="inlineStr">
        <is>
          <t>Alto</t>
        </is>
      </c>
      <c r="I11" s="11" t="inlineStr">
        <is>
          <t>Piloto sin caja</t>
        </is>
      </c>
      <c r="J11" s="11" t="inlineStr">
        <is>
          <t>Cofinanciación</t>
        </is>
      </c>
      <c r="K11" s="11" t="inlineStr">
        <is>
          <t>Q1-27</t>
        </is>
      </c>
    </row>
    <row r="12">
      <c r="A12" s="12" t="inlineStr">
        <is>
          <t>Calaf</t>
        </is>
      </c>
      <c r="B12" s="12" t="inlineStr">
        <is>
          <t>Constructora / piloto</t>
        </is>
      </c>
      <c r="C12" s="12" t="inlineStr">
        <is>
          <t>Moolde</t>
        </is>
      </c>
      <c r="D12" s="12" t="inlineStr">
        <is>
          <t>Luis</t>
        </is>
      </c>
      <c r="E12" s="12" t="inlineStr">
        <is>
          <t>Obra/piloto constructivo</t>
        </is>
      </c>
      <c r="F12" s="12" t="inlineStr">
        <is>
          <t>Encofrado inteligente y trazabilidad</t>
        </is>
      </c>
      <c r="G12" s="12" t="inlineStr">
        <is>
          <t>Activo</t>
        </is>
      </c>
      <c r="H12" s="12" t="inlineStr">
        <is>
          <t>Alto</t>
        </is>
      </c>
      <c r="I12" s="12" t="inlineStr">
        <is>
          <t>Alcance difuso</t>
        </is>
      </c>
      <c r="J12" s="12" t="inlineStr">
        <is>
          <t>Presupuesto piloto</t>
        </is>
      </c>
      <c r="K12" s="12" t="inlineStr">
        <is>
          <t>Q1-27</t>
        </is>
      </c>
    </row>
    <row r="13">
      <c r="A13" s="11" t="inlineStr">
        <is>
          <t>Marsam</t>
        </is>
      </c>
      <c r="B13" s="11" t="inlineStr">
        <is>
          <t>Marca producto construcción</t>
        </is>
      </c>
      <c r="C13" s="11" t="inlineStr">
        <is>
          <t>Prototipos comerciales</t>
        </is>
      </c>
      <c r="D13" s="11" t="inlineStr">
        <is>
          <t>Emilio / Luis</t>
        </is>
      </c>
      <c r="E13" s="11" t="inlineStr">
        <is>
          <t>Producto alto valor</t>
        </is>
      </c>
      <c r="F13" s="11" t="inlineStr">
        <is>
          <t>CUEVA OS, DPP, prototipo</t>
        </is>
      </c>
      <c r="G13" s="11" t="inlineStr">
        <is>
          <t>Objetivo</t>
        </is>
      </c>
      <c r="H13" s="11" t="inlineStr">
        <is>
          <t>Medio</t>
        </is>
      </c>
      <c r="I13" s="11" t="inlineStr">
        <is>
          <t>Prototipo gratis</t>
        </is>
      </c>
      <c r="J13" s="11" t="inlineStr">
        <is>
          <t>Oferta pagada</t>
        </is>
      </c>
      <c r="K13" s="11" t="inlineStr">
        <is>
          <t>Q2-27</t>
        </is>
      </c>
    </row>
    <row r="14">
      <c r="A14" s="12" t="inlineStr">
        <is>
          <t>Promotoras / aytos / constructoras</t>
        </is>
      </c>
      <c r="B14" s="12" t="inlineStr">
        <is>
          <t>Clientes canal</t>
        </is>
      </c>
      <c r="C14" s="12" t="inlineStr">
        <is>
          <t>Comercial general</t>
        </is>
      </c>
      <c r="D14" s="12" t="inlineStr">
        <is>
          <t>Emilio Torres</t>
        </is>
      </c>
      <c r="E14" s="12" t="inlineStr">
        <is>
          <t>Demanda y proyectos</t>
        </is>
      </c>
      <c r="F14" s="12" t="inlineStr">
        <is>
          <t>Oferta industrializada</t>
        </is>
      </c>
      <c r="G14" s="12" t="inlineStr">
        <is>
          <t>Prospección</t>
        </is>
      </c>
      <c r="H14" s="12" t="inlineStr">
        <is>
          <t>Alto</t>
        </is>
      </c>
      <c r="I14" s="12" t="inlineStr">
        <is>
          <t>Baja conversión</t>
        </is>
      </c>
      <c r="J14" s="12" t="inlineStr">
        <is>
          <t>CRM + reuniones</t>
        </is>
      </c>
      <c r="K14" s="12" t="inlineStr">
        <is>
          <t>Sep-26</t>
        </is>
      </c>
    </row>
  </sheetData>
  <mergeCells count="2">
    <mergeCell ref="A2:K2"/>
    <mergeCell ref="A1:K1"/>
  </mergeCells>
  <pageMargins left="0.25" right="0.25" top="0.5" bottom="0.5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26" customWidth="1" min="3" max="3"/>
    <col width="40" customWidth="1" min="4" max="4"/>
    <col width="30" customWidth="1" min="5" max="5"/>
  </cols>
  <sheetData>
    <row r="1" ht="30" customHeight="1">
      <c r="A1" s="1" t="inlineStr">
        <is>
          <t>Mapa estratégico</t>
        </is>
      </c>
    </row>
    <row r="2" ht="22" customHeight="1">
      <c r="A2" s="2" t="inlineStr">
        <is>
          <t>De capital mínimo a sostenibilidad: activos, producto, mercado y caja</t>
        </is>
      </c>
    </row>
    <row r="4" ht="24" customHeight="1">
      <c r="A4" s="10" t="inlineStr">
        <is>
          <t>Pilar estratégico</t>
        </is>
      </c>
      <c r="B4" s="10" t="inlineStr">
        <is>
          <t>Contenido</t>
        </is>
      </c>
      <c r="C4" s="10" t="inlineStr">
        <is>
          <t>Responsable</t>
        </is>
      </c>
      <c r="D4" s="10" t="inlineStr">
        <is>
          <t>Hito de validación</t>
        </is>
      </c>
    </row>
    <row r="5">
      <c r="A5" s="11" t="inlineStr">
        <is>
          <t>Producto digital</t>
        </is>
      </c>
      <c r="B5" s="11" t="inlineStr">
        <is>
          <t>CUEVA OS, DPP, POI, interfaces, IA, telecom, cloud</t>
        </is>
      </c>
      <c r="C5" s="11" t="inlineStr">
        <is>
          <t>Hernán / Santi</t>
        </is>
      </c>
      <c r="D5" s="11" t="inlineStr">
        <is>
          <t>Release comercial + demos auditables</t>
        </is>
      </c>
    </row>
    <row r="6">
      <c r="A6" s="12" t="inlineStr">
        <is>
          <t>Operación industrial</t>
        </is>
      </c>
      <c r="B6" s="12" t="inlineStr">
        <is>
          <t>Hub OADAC-Valeriano, Medhi personal, Llar de Mar 2</t>
        </is>
      </c>
      <c r="C6" s="12" t="inlineStr">
        <is>
          <t>Luis / Medhi / Valeriano</t>
        </is>
      </c>
      <c r="D6" s="12" t="inlineStr">
        <is>
          <t>Nodo Menorca operativo</t>
        </is>
      </c>
    </row>
    <row r="7">
      <c r="A7" s="11" t="inlineStr">
        <is>
          <t>Mercado y ventas</t>
        </is>
      </c>
      <c r="B7" s="11" t="inlineStr">
        <is>
          <t>Tash, Logistik, ayuntamientos, promotoras, constructoras, Marsam</t>
        </is>
      </c>
      <c r="C7" s="11" t="inlineStr">
        <is>
          <t>Luis / Ángel / Emilio / Jacqueline</t>
        </is>
      </c>
      <c r="D7" s="11" t="inlineStr">
        <is>
          <t>Pipeline &gt; 2,1M objetivo 2027</t>
        </is>
      </c>
    </row>
    <row r="8">
      <c r="A8" s="12" t="inlineStr">
        <is>
          <t>Certificación / legitimidad</t>
        </is>
      </c>
      <c r="B8" s="12" t="inlineStr">
        <is>
          <t>KIWA, RMOOB, LIFE, SaaS materia + producto</t>
        </is>
      </c>
      <c r="C8" s="12" t="inlineStr">
        <is>
          <t>Luis / Hernán</t>
        </is>
      </c>
      <c r="D8" s="12" t="inlineStr">
        <is>
          <t>Proyectos 450k + 800k</t>
        </is>
      </c>
    </row>
    <row r="11">
      <c r="A11" s="9" t="inlineStr">
        <is>
          <t>KPIs estratégicos mínimos a diciembre 2027</t>
        </is>
      </c>
    </row>
    <row r="12" ht="24" customHeight="1">
      <c r="A12" s="10" t="inlineStr">
        <is>
          <t>KPI</t>
        </is>
      </c>
      <c r="B12" s="10" t="inlineStr">
        <is>
          <t>Objetivo</t>
        </is>
      </c>
      <c r="C12" s="10" t="inlineStr">
        <is>
          <t>Fecha</t>
        </is>
      </c>
      <c r="D12" s="10" t="inlineStr">
        <is>
          <t>Propietario</t>
        </is>
      </c>
      <c r="E12" s="10" t="inlineStr">
        <is>
          <t>Evidencia</t>
        </is>
      </c>
    </row>
    <row r="13">
      <c r="A13" s="11" t="inlineStr">
        <is>
          <t>Facturación 2027</t>
        </is>
      </c>
      <c r="B13" s="11" t="inlineStr">
        <is>
          <t>&gt;= 2,1M€ objetivo</t>
        </is>
      </c>
      <c r="C13" s="11" t="inlineStr">
        <is>
          <t>Dic-27</t>
        </is>
      </c>
      <c r="D13" s="11" t="inlineStr">
        <is>
          <t>Dirección</t>
        </is>
      </c>
      <c r="E13" s="11" t="inlineStr">
        <is>
          <t>Contratos/facturas</t>
        </is>
      </c>
    </row>
    <row r="14">
      <c r="A14" s="12" t="inlineStr">
        <is>
          <t>EBITDA 2027</t>
        </is>
      </c>
      <c r="B14" s="12" t="inlineStr">
        <is>
          <t>Positivo anual y Q4 autosostenible</t>
        </is>
      </c>
      <c r="C14" s="12" t="inlineStr">
        <is>
          <t>Dic-27</t>
        </is>
      </c>
      <c r="D14" s="12" t="inlineStr">
        <is>
          <t>Finanzas</t>
        </is>
      </c>
      <c r="E14" s="12" t="inlineStr">
        <is>
          <t>P&amp;L</t>
        </is>
      </c>
    </row>
    <row r="15">
      <c r="A15" s="11" t="inlineStr">
        <is>
          <t>Clientes/proyectos activos</t>
        </is>
      </c>
      <c r="B15" s="11" t="inlineStr">
        <is>
          <t>&gt;= 5 líneas facturables</t>
        </is>
      </c>
      <c r="C15" s="11" t="inlineStr">
        <is>
          <t>Dic-27</t>
        </is>
      </c>
      <c r="D15" s="11" t="inlineStr">
        <is>
          <t>Comercial</t>
        </is>
      </c>
      <c r="E15" s="11" t="inlineStr">
        <is>
          <t>CRM/contratos</t>
        </is>
      </c>
    </row>
    <row r="16">
      <c r="A16" s="12" t="inlineStr">
        <is>
          <t>Release CUEVA OS</t>
        </is>
      </c>
      <c r="B16" s="12" t="inlineStr">
        <is>
          <t>Entrega comercial estable</t>
        </is>
      </c>
      <c r="C16" s="12" t="inlineStr">
        <is>
          <t>Sep-26</t>
        </is>
      </c>
      <c r="D16" s="12" t="inlineStr">
        <is>
          <t>Hernán/Santi</t>
        </is>
      </c>
      <c r="E16" s="12" t="inlineStr">
        <is>
          <t>Demo/QA</t>
        </is>
      </c>
    </row>
    <row r="17">
      <c r="A17" s="11" t="inlineStr">
        <is>
          <t>Valor empresa</t>
        </is>
      </c>
      <c r="B17" s="11" t="inlineStr">
        <is>
          <t>Rango 8-12M€; objetivo 9,5M€</t>
        </is>
      </c>
      <c r="C17" s="11" t="inlineStr">
        <is>
          <t>Dic-27</t>
        </is>
      </c>
      <c r="D17" s="11" t="inlineStr">
        <is>
          <t>Dirección</t>
        </is>
      </c>
      <c r="E17" s="11" t="inlineStr">
        <is>
          <t>Informe valoración</t>
        </is>
      </c>
    </row>
  </sheetData>
  <mergeCells count="2">
    <mergeCell ref="A2:H2"/>
    <mergeCell ref="A1:H1"/>
  </mergeCells>
  <pageMargins left="0.25" right="0.25" top="0.5" bottom="0.5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2" customWidth="1" min="4" max="4"/>
    <col width="42" customWidth="1" min="5" max="5"/>
    <col width="28" customWidth="1" min="6" max="6"/>
    <col width="28" customWidth="1" min="7" max="7"/>
    <col width="24" customWidth="1" min="8" max="8"/>
    <col width="20" customWidth="1" min="9" max="9"/>
    <col width="16" customWidth="1" min="10" max="10"/>
  </cols>
  <sheetData>
    <row r="1" ht="30" customHeight="1">
      <c r="A1" s="1" t="inlineStr">
        <is>
          <t>Valor de activos CUEVA/OADAC</t>
        </is>
      </c>
    </row>
    <row r="2" ht="22" customHeight="1">
      <c r="A2" s="2" t="inlineStr">
        <is>
          <t>Activos tangibles, intangibles, relacionales y de validación. No confundir coste con valor de mercado.</t>
        </is>
      </c>
    </row>
    <row r="4" ht="24" customHeight="1">
      <c r="A4" s="10" t="inlineStr">
        <is>
          <t>Activo</t>
        </is>
      </c>
      <c r="B4" s="10" t="inlineStr">
        <is>
          <t>Tipo</t>
        </is>
      </c>
      <c r="C4" s="10" t="inlineStr">
        <is>
          <t>Valor actual razonado (€)</t>
        </is>
      </c>
      <c r="D4" s="10" t="inlineStr">
        <is>
          <t>Valor objetivo fin 2027 (€)</t>
        </is>
      </c>
      <c r="E4" s="10" t="inlineStr">
        <is>
          <t>Método / justificación</t>
        </is>
      </c>
      <c r="F4" s="10" t="inlineStr">
        <is>
          <t>Dependencias</t>
        </is>
      </c>
      <c r="G4" s="10" t="inlineStr">
        <is>
          <t>Evidencia</t>
        </is>
      </c>
      <c r="H4" s="10" t="inlineStr">
        <is>
          <t>Riesgo</t>
        </is>
      </c>
      <c r="I4" s="10" t="inlineStr">
        <is>
          <t>Responsable</t>
        </is>
      </c>
      <c r="J4" s="10" t="inlineStr">
        <is>
          <t>Estado</t>
        </is>
      </c>
    </row>
    <row r="5">
      <c r="A5" s="11" t="inlineStr">
        <is>
          <t>CUEVA OS / software base</t>
        </is>
      </c>
      <c r="B5" s="11" t="inlineStr">
        <is>
          <t>Intangible tecnológico</t>
        </is>
      </c>
      <c r="C5" s="7" t="n">
        <v>900000</v>
      </c>
      <c r="D5" s="7" t="n">
        <v>2200000</v>
      </c>
      <c r="E5" s="11" t="inlineStr">
        <is>
          <t>Desarrollo acumulado + producto comercial + multi-cliente</t>
        </is>
      </c>
      <c r="F5" s="11" t="inlineStr">
        <is>
          <t>Release estable</t>
        </is>
      </c>
      <c r="G5" s="11" t="inlineStr">
        <is>
          <t>Repos, demos, documentación</t>
        </is>
      </c>
      <c r="H5" s="11" t="inlineStr">
        <is>
          <t>Dependencia equipo técnico</t>
        </is>
      </c>
      <c r="I5" s="11" t="inlineStr">
        <is>
          <t>Hernán</t>
        </is>
      </c>
      <c r="J5" s="11" t="inlineStr">
        <is>
          <t>Activo</t>
        </is>
      </c>
    </row>
    <row r="6">
      <c r="A6" s="12" t="inlineStr">
        <is>
          <t>DPP/POI/trazabilidad campo</t>
        </is>
      </c>
      <c r="B6" s="12" t="inlineStr">
        <is>
          <t>Intangible + know-how</t>
        </is>
      </c>
      <c r="C6" s="13" t="n">
        <v>600000</v>
      </c>
      <c r="D6" s="13" t="n">
        <v>1400000</v>
      </c>
      <c r="E6" s="12" t="inlineStr">
        <is>
          <t>Validación Menorca/Piedrahita + hardware + metodología</t>
        </is>
      </c>
      <c r="F6" s="12" t="inlineStr">
        <is>
          <t>Casos y lecturas</t>
        </is>
      </c>
      <c r="G6" s="12" t="inlineStr">
        <is>
          <t>Piedrahita/Menorca/KIWA</t>
        </is>
      </c>
      <c r="H6" s="12" t="inlineStr">
        <is>
          <t>Commoditización</t>
        </is>
      </c>
      <c r="I6" s="12" t="inlineStr">
        <is>
          <t>Luis/Hernán</t>
        </is>
      </c>
      <c r="J6" s="12" t="inlineStr">
        <is>
          <t>Activo</t>
        </is>
      </c>
    </row>
    <row r="7">
      <c r="A7" s="11" t="inlineStr">
        <is>
          <t>Casos reales Menorca/Piedrahita</t>
        </is>
      </c>
      <c r="B7" s="11" t="inlineStr">
        <is>
          <t>Activo comercial</t>
        </is>
      </c>
      <c r="C7" s="7" t="n">
        <v>500000</v>
      </c>
      <c r="D7" s="7" t="n">
        <v>1100000</v>
      </c>
      <c r="E7" s="11" t="inlineStr">
        <is>
          <t>Prueba industrial y vivienda como casos de venta</t>
        </is>
      </c>
      <c r="F7" s="11" t="inlineStr">
        <is>
          <t>Documentación visual y técnica</t>
        </is>
      </c>
      <c r="G7" s="11" t="inlineStr">
        <is>
          <t>Fotos, métricas, contratos</t>
        </is>
      </c>
      <c r="H7" s="11" t="inlineStr">
        <is>
          <t>No documentar</t>
        </is>
      </c>
      <c r="I7" s="11" t="inlineStr">
        <is>
          <t>Luis/Jacqueline</t>
        </is>
      </c>
      <c r="J7" s="11" t="inlineStr">
        <is>
          <t>En marcha</t>
        </is>
      </c>
    </row>
    <row r="8">
      <c r="A8" s="12" t="inlineStr">
        <is>
          <t>Relaciones estratégicas</t>
        </is>
      </c>
      <c r="B8" s="12" t="inlineStr">
        <is>
          <t>Relacional</t>
        </is>
      </c>
      <c r="C8" s="13" t="n">
        <v>700000</v>
      </c>
      <c r="D8" s="13" t="n">
        <v>1900000</v>
      </c>
      <c r="E8" s="12" t="inlineStr">
        <is>
          <t>Tash, Valeriano, Medhi, Logistik, KIWA, RMOOB</t>
        </is>
      </c>
      <c r="F8" s="12" t="inlineStr">
        <is>
          <t>Contratos/LOI</t>
        </is>
      </c>
      <c r="G8" s="12" t="inlineStr">
        <is>
          <t>Mapa relaciones</t>
        </is>
      </c>
      <c r="H8" s="12" t="inlineStr">
        <is>
          <t>Dependencia personas</t>
        </is>
      </c>
      <c r="I8" s="12" t="inlineStr">
        <is>
          <t>Luis/Ángel</t>
        </is>
      </c>
      <c r="J8" s="12" t="inlineStr">
        <is>
          <t>Activo</t>
        </is>
      </c>
    </row>
    <row r="9">
      <c r="A9" s="11" t="inlineStr">
        <is>
          <t>Modelo Hub OADAC</t>
        </is>
      </c>
      <c r="B9" s="11" t="inlineStr">
        <is>
          <t>Operativo/industrial</t>
        </is>
      </c>
      <c r="C9" s="7" t="n">
        <v>400000</v>
      </c>
      <c r="D9" s="7" t="n">
        <v>1300000</v>
      </c>
      <c r="E9" s="11" t="inlineStr">
        <is>
          <t>Capacidad replicable de nodo licenciatario</t>
        </is>
      </c>
      <c r="F9" s="11" t="inlineStr">
        <is>
          <t>Acuerdo Valeriano/Medhi</t>
        </is>
      </c>
      <c r="G9" s="11" t="inlineStr">
        <is>
          <t>Contrato hub</t>
        </is>
      </c>
      <c r="H9" s="11" t="inlineStr">
        <is>
          <t>Sobrecoste</t>
        </is>
      </c>
      <c r="I9" s="11" t="inlineStr">
        <is>
          <t>Luis</t>
        </is>
      </c>
      <c r="J9" s="11" t="inlineStr">
        <is>
          <t>Objetivo</t>
        </is>
      </c>
    </row>
    <row r="10">
      <c r="A10" s="12" t="inlineStr">
        <is>
          <t>Marca / narrativa / mercado</t>
        </is>
      </c>
      <c r="B10" s="12" t="inlineStr">
        <is>
          <t>Marca/comercial</t>
        </is>
      </c>
      <c r="C10" s="13" t="n">
        <v>300000</v>
      </c>
      <c r="D10" s="13" t="n">
        <v>800000</v>
      </c>
      <c r="E10" s="12" t="inlineStr">
        <is>
          <t>Salida comercial y posicionamiento categoría</t>
        </is>
      </c>
      <c r="F10" s="12" t="inlineStr">
        <is>
          <t>Marketing septiembre</t>
        </is>
      </c>
      <c r="G10" s="12" t="inlineStr">
        <is>
          <t>Web/deck/PR</t>
        </is>
      </c>
      <c r="H10" s="12" t="inlineStr">
        <is>
          <t>Mensaje débil</t>
        </is>
      </c>
      <c r="I10" s="12" t="inlineStr">
        <is>
          <t>Jacqueline</t>
        </is>
      </c>
      <c r="J10" s="12" t="inlineStr">
        <is>
          <t>Pendiente</t>
        </is>
      </c>
    </row>
    <row r="11">
      <c r="A11" s="11" t="inlineStr">
        <is>
          <t>Pipeline 2027</t>
        </is>
      </c>
      <c r="B11" s="11" t="inlineStr">
        <is>
          <t>Comercial</t>
        </is>
      </c>
      <c r="C11" s="7" t="n">
        <v>600000</v>
      </c>
      <c r="D11" s="7" t="n">
        <v>2200000</v>
      </c>
      <c r="E11" s="11" t="inlineStr">
        <is>
          <t>Ingresos objetivo con hitos y contratos a formalizar</t>
        </is>
      </c>
      <c r="F11" s="11" t="inlineStr">
        <is>
          <t>Firmas y cobros</t>
        </is>
      </c>
      <c r="G11" s="11" t="inlineStr">
        <is>
          <t>CRM/facturas</t>
        </is>
      </c>
      <c r="H11" s="11" t="inlineStr">
        <is>
          <t>No convertir</t>
        </is>
      </c>
      <c r="I11" s="11" t="inlineStr">
        <is>
          <t>Dirección</t>
        </is>
      </c>
      <c r="J11" s="11" t="inlineStr">
        <is>
          <t>Objetivo</t>
        </is>
      </c>
    </row>
    <row r="12">
      <c r="A12" s="19" t="inlineStr">
        <is>
          <t>TOTAL / puente activos</t>
        </is>
      </c>
      <c r="B12" s="19" t="inlineStr"/>
      <c r="C12" s="20">
        <f>SUM(C5:C11)</f>
        <v/>
      </c>
      <c r="D12" s="20">
        <f>SUM(D5:D11)</f>
        <v/>
      </c>
      <c r="E12" s="19" t="inlineStr"/>
      <c r="F12" s="19" t="inlineStr"/>
      <c r="G12" s="19" t="inlineStr"/>
      <c r="H12" s="19" t="inlineStr"/>
      <c r="I12" s="19" t="inlineStr"/>
      <c r="J12" s="19" t="inlineStr"/>
    </row>
  </sheetData>
  <mergeCells count="2">
    <mergeCell ref="A1:J1"/>
    <mergeCell ref="A2:J2"/>
  </mergeCells>
  <pageMargins left="0.25" right="0.25" top="0.5" bottom="0.5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42" customWidth="1" min="4" max="4"/>
    <col width="30" customWidth="1" min="5" max="5"/>
    <col width="24" customWidth="1" min="6" max="6"/>
    <col width="14" customWidth="1" min="7" max="7"/>
    <col width="36" customWidth="1" min="8" max="8"/>
    <col width="20" customWidth="1" min="9" max="9"/>
    <col width="14" customWidth="1" min="10" max="10"/>
  </cols>
  <sheetData>
    <row r="1" ht="30" customHeight="1">
      <c r="A1" s="1" t="inlineStr">
        <is>
          <t>Valor empresa a cierre 2027</t>
        </is>
      </c>
    </row>
    <row r="2" ht="22" customHeight="1">
      <c r="A2" s="2" t="inlineStr">
        <is>
          <t>Bridge desde 4M€ actuales hasta objetivo 9,5M€ con objetivos cumplidos</t>
        </is>
      </c>
    </row>
    <row r="4" ht="24" customHeight="1">
      <c r="A4" s="10" t="inlineStr">
        <is>
          <t>Componente</t>
        </is>
      </c>
      <c r="B4" s="10" t="inlineStr">
        <is>
          <t>Valor incremental (€)</t>
        </is>
      </c>
      <c r="C4" s="10" t="inlineStr">
        <is>
          <t>Valor acumulado (€)</t>
        </is>
      </c>
      <c r="D4" s="10" t="inlineStr">
        <is>
          <t>Base de cálculo</t>
        </is>
      </c>
      <c r="E4" s="10" t="inlineStr">
        <is>
          <t>Evidencia requerida</t>
        </is>
      </c>
      <c r="F4" s="10" t="inlineStr">
        <is>
          <t>Riesgo</t>
        </is>
      </c>
      <c r="G4" s="10" t="inlineStr">
        <is>
          <t>Estado</t>
        </is>
      </c>
      <c r="H4" s="10" t="inlineStr">
        <is>
          <t>Comentario</t>
        </is>
      </c>
      <c r="I4" s="10" t="inlineStr">
        <is>
          <t>Responsable</t>
        </is>
      </c>
      <c r="J4" s="10" t="inlineStr">
        <is>
          <t>Fecha</t>
        </is>
      </c>
    </row>
    <row r="5">
      <c r="A5" s="11" t="inlineStr">
        <is>
          <t>Valor actual de referencia</t>
        </is>
      </c>
      <c r="B5" s="7" t="n">
        <v>0</v>
      </c>
      <c r="C5" s="7" t="n">
        <v>4000000</v>
      </c>
      <c r="D5" s="11" t="inlineStr">
        <is>
          <t>Inversión histórica acumulada / valoración interna actual</t>
        </is>
      </c>
      <c r="E5" s="11" t="inlineStr">
        <is>
          <t>Memoria de inversión y activos</t>
        </is>
      </c>
      <c r="F5" s="11" t="inlineStr">
        <is>
          <t>Soporte insuficiente</t>
        </is>
      </c>
      <c r="G5" s="11" t="inlineStr">
        <is>
          <t>Base</t>
        </is>
      </c>
      <c r="H5" s="11" t="inlineStr">
        <is>
          <t>Punto de partida definido por dirección</t>
        </is>
      </c>
      <c r="I5" s="11" t="inlineStr">
        <is>
          <t>Dirección</t>
        </is>
      </c>
      <c r="J5" s="11" t="inlineStr">
        <is>
          <t>Jul-26</t>
        </is>
      </c>
    </row>
    <row r="6">
      <c r="A6" s="12" t="inlineStr">
        <is>
          <t>Producto CUEVA OS comercializable</t>
        </is>
      </c>
      <c r="B6" s="13" t="n">
        <v>1200000</v>
      </c>
      <c r="C6" s="24">
        <f>C5+B6</f>
        <v/>
      </c>
      <c r="D6" s="12" t="inlineStr">
        <is>
          <t>Release, demos, arquitectura, licencias, seguridad</t>
        </is>
      </c>
      <c r="E6" s="12" t="inlineStr">
        <is>
          <t>Demo + docs + QA</t>
        </is>
      </c>
      <c r="F6" s="12" t="inlineStr">
        <is>
          <t>No estabilizar producto</t>
        </is>
      </c>
      <c r="G6" s="12" t="inlineStr">
        <is>
          <t>Objetivo</t>
        </is>
      </c>
      <c r="H6" s="12" t="inlineStr">
        <is>
          <t>Software/IT reforzado con 78k</t>
        </is>
      </c>
      <c r="I6" s="12" t="inlineStr">
        <is>
          <t>Hernán/Santi</t>
        </is>
      </c>
      <c r="J6" s="12" t="inlineStr">
        <is>
          <t>Sep-26</t>
        </is>
      </c>
    </row>
    <row r="7">
      <c r="A7" s="11" t="inlineStr">
        <is>
          <t>Casos y validación industrial</t>
        </is>
      </c>
      <c r="B7" s="7" t="n">
        <v>900000</v>
      </c>
      <c r="C7" s="22">
        <f>C6+B7</f>
        <v/>
      </c>
      <c r="D7" s="11" t="inlineStr">
        <is>
          <t>Piedrahita terminado + Llar de Mar 2 + Menorca</t>
        </is>
      </c>
      <c r="E7" s="11" t="inlineStr">
        <is>
          <t>Casos visuales/técnicos</t>
        </is>
      </c>
      <c r="F7" s="11" t="inlineStr">
        <is>
          <t>No cerrar casos</t>
        </is>
      </c>
      <c r="G7" s="11" t="inlineStr">
        <is>
          <t>Objetivo</t>
        </is>
      </c>
      <c r="H7" s="11" t="inlineStr">
        <is>
          <t>De TRL 7-8 a validación comercial</t>
        </is>
      </c>
      <c r="I7" s="11" t="inlineStr">
        <is>
          <t>Luis/Jacqueline</t>
        </is>
      </c>
      <c r="J7" s="11" t="inlineStr">
        <is>
          <t>Q2-27</t>
        </is>
      </c>
    </row>
    <row r="8">
      <c r="A8" s="12" t="inlineStr">
        <is>
          <t>Hub OADAC operativo</t>
        </is>
      </c>
      <c r="B8" s="13" t="n">
        <v>800000</v>
      </c>
      <c r="C8" s="24">
        <f>C7+B8</f>
        <v/>
      </c>
      <c r="D8" s="12" t="inlineStr">
        <is>
          <t>Valeriano + Medhi + showroom + proceso replicable</t>
        </is>
      </c>
      <c r="E8" s="12" t="inlineStr">
        <is>
          <t>Acuerdos y visitas</t>
        </is>
      </c>
      <c r="F8" s="12" t="inlineStr">
        <is>
          <t>Sobrecoste / informalidad</t>
        </is>
      </c>
      <c r="G8" s="12" t="inlineStr">
        <is>
          <t>Objetivo</t>
        </is>
      </c>
      <c r="H8" s="12" t="inlineStr">
        <is>
          <t>Licenciatario operativo Baleares</t>
        </is>
      </c>
      <c r="I8" s="12" t="inlineStr">
        <is>
          <t>Luis</t>
        </is>
      </c>
      <c r="J8" s="12" t="inlineStr">
        <is>
          <t>Q2-27</t>
        </is>
      </c>
    </row>
    <row r="9">
      <c r="A9" s="11" t="inlineStr">
        <is>
          <t>Pipeline e ingresos 2027</t>
        </is>
      </c>
      <c r="B9" s="7" t="n">
        <v>1500000</v>
      </c>
      <c r="C9" s="22">
        <f>C8+B9</f>
        <v/>
      </c>
      <c r="D9" s="11" t="inlineStr">
        <is>
          <t>Ingresos objetivo &gt;2,1M€ y EBITDA positivo</t>
        </is>
      </c>
      <c r="E9" s="11" t="inlineStr">
        <is>
          <t>Contratos/facturas/P&amp;L</t>
        </is>
      </c>
      <c r="F9" s="11" t="inlineStr">
        <is>
          <t>No convertir pipeline</t>
        </is>
      </c>
      <c r="G9" s="11" t="inlineStr">
        <is>
          <t>Objetivo</t>
        </is>
      </c>
      <c r="H9" s="11" t="inlineStr">
        <is>
          <t>Principal driver de valoración</t>
        </is>
      </c>
      <c r="I9" s="11" t="inlineStr">
        <is>
          <t>Dirección</t>
        </is>
      </c>
      <c r="J9" s="11" t="inlineStr">
        <is>
          <t>Dic-27</t>
        </is>
      </c>
    </row>
    <row r="10">
      <c r="A10" s="12" t="inlineStr">
        <is>
          <t>Alianza KIWA/RMOOB certificación</t>
        </is>
      </c>
      <c r="B10" s="13" t="n">
        <v>900000</v>
      </c>
      <c r="C10" s="24">
        <f>C9+B10</f>
        <v/>
      </c>
      <c r="D10" s="12" t="inlineStr">
        <is>
          <t>SaaS materia + producto + certificación</t>
        </is>
      </c>
      <c r="E10" s="12" t="inlineStr">
        <is>
          <t>LOI/contratos KIWA</t>
        </is>
      </c>
      <c r="F10" s="12" t="inlineStr">
        <is>
          <t>Dependencia externa</t>
        </is>
      </c>
      <c r="G10" s="12" t="inlineStr">
        <is>
          <t>Objetivo</t>
        </is>
      </c>
      <c r="H10" s="12" t="inlineStr">
        <is>
          <t>Posiciona a CUEVA en certificación y trazabilidad</t>
        </is>
      </c>
      <c r="I10" s="12" t="inlineStr">
        <is>
          <t>Luis/Hernán</t>
        </is>
      </c>
      <c r="J10" s="12" t="inlineStr">
        <is>
          <t>Dic-27</t>
        </is>
      </c>
    </row>
    <row r="11">
      <c r="A11" s="11" t="inlineStr">
        <is>
          <t>Valor relacional/mercado</t>
        </is>
      </c>
      <c r="B11" s="7" t="n">
        <v>200000</v>
      </c>
      <c r="C11" s="22">
        <f>C10+B11</f>
        <v/>
      </c>
      <c r="D11" s="11" t="inlineStr">
        <is>
          <t>Tash/Logistik/Marsam/promotoras/aytos</t>
        </is>
      </c>
      <c r="E11" s="11" t="inlineStr">
        <is>
          <t>CRM y acuerdos</t>
        </is>
      </c>
      <c r="F11" s="11" t="inlineStr">
        <is>
          <t>Dependencia personal</t>
        </is>
      </c>
      <c r="G11" s="11" t="inlineStr">
        <is>
          <t>Objetivo</t>
        </is>
      </c>
      <c r="H11" s="11" t="inlineStr">
        <is>
          <t>Red comercial y partners</t>
        </is>
      </c>
      <c r="I11" s="11" t="inlineStr">
        <is>
          <t>Luis/Ángel/Emilio</t>
        </is>
      </c>
      <c r="J11" s="11" t="inlineStr">
        <is>
          <t>Dic-27</t>
        </is>
      </c>
    </row>
    <row r="12">
      <c r="A12" s="16" t="inlineStr">
        <is>
          <t>VALOR OBJETIVO FIN 2027</t>
        </is>
      </c>
      <c r="B12" s="17" t="inlineStr"/>
      <c r="C12" s="17">
        <f>C11</f>
        <v/>
      </c>
      <c r="D12" s="16" t="inlineStr">
        <is>
          <t>Rango razonado: 8M€ - 12M€; objetivo interno 9,5M€</t>
        </is>
      </c>
      <c r="E12" s="16" t="inlineStr">
        <is>
          <t>Informe valoración</t>
        </is>
      </c>
      <c r="F12" s="16" t="inlineStr">
        <is>
          <t>Necesita soporte externo</t>
        </is>
      </c>
      <c r="G12" s="16" t="inlineStr">
        <is>
          <t>Objetivo</t>
        </is>
      </c>
      <c r="H12" s="16" t="inlineStr">
        <is>
          <t>No es valoración independiente</t>
        </is>
      </c>
      <c r="I12" s="16" t="inlineStr">
        <is>
          <t>Dirección</t>
        </is>
      </c>
      <c r="J12" s="16" t="inlineStr">
        <is>
          <t>Dic-27</t>
        </is>
      </c>
    </row>
  </sheetData>
  <mergeCells count="2">
    <mergeCell ref="A1:J1"/>
    <mergeCell ref="A2:J2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2" customWidth="1" min="13" max="13"/>
    <col width="22" customWidth="1" min="14" max="14"/>
    <col width="22" customWidth="1" min="15" max="15"/>
    <col width="14" customWidth="1" min="16" max="16"/>
  </cols>
  <sheetData>
    <row r="1" ht="30" customHeight="1">
      <c r="A1" s="1" t="inlineStr">
        <is>
          <t>Roadmap visual 2026-2027</t>
        </is>
      </c>
    </row>
    <row r="2" ht="22" customHeight="1">
      <c r="A2" s="2" t="inlineStr">
        <is>
          <t>Vista de hitos por semestre y línea estratégica</t>
        </is>
      </c>
    </row>
    <row r="4" ht="24" customHeight="1">
      <c r="A4" s="10" t="inlineStr">
        <is>
          <t>Línea</t>
        </is>
      </c>
      <c r="B4" s="10" t="inlineStr">
        <is>
          <t>Jul-26</t>
        </is>
      </c>
      <c r="C4" s="10" t="inlineStr">
        <is>
          <t>Ago-26</t>
        </is>
      </c>
      <c r="D4" s="10" t="inlineStr">
        <is>
          <t>Sep-26</t>
        </is>
      </c>
      <c r="E4" s="10" t="inlineStr">
        <is>
          <t>Oct-26</t>
        </is>
      </c>
      <c r="F4" s="10" t="inlineStr">
        <is>
          <t>Nov-26</t>
        </is>
      </c>
      <c r="G4" s="10" t="inlineStr">
        <is>
          <t>Dic-26</t>
        </is>
      </c>
      <c r="H4" s="10" t="inlineStr">
        <is>
          <t>Q1-27</t>
        </is>
      </c>
      <c r="I4" s="10" t="inlineStr">
        <is>
          <t>Q2-27</t>
        </is>
      </c>
      <c r="J4" s="10" t="inlineStr">
        <is>
          <t>Q3-27</t>
        </is>
      </c>
      <c r="K4" s="10" t="inlineStr">
        <is>
          <t>Q4-27</t>
        </is>
      </c>
      <c r="L4" s="10" t="inlineStr">
        <is>
          <t>Responsable</t>
        </is>
      </c>
      <c r="M4" s="10" t="inlineStr">
        <is>
          <t>Gate</t>
        </is>
      </c>
      <c r="N4" s="10" t="inlineStr">
        <is>
          <t>Evidencia</t>
        </is>
      </c>
      <c r="O4" s="10" t="inlineStr">
        <is>
          <t>Riesgo</t>
        </is>
      </c>
      <c r="P4" s="10" t="inlineStr">
        <is>
          <t>Estado</t>
        </is>
      </c>
    </row>
    <row r="5">
      <c r="A5" s="11" t="inlineStr">
        <is>
          <t>Deuda / saneamiento</t>
        </is>
      </c>
      <c r="B5" s="30" t="inlineStr">
        <is>
          <t>Medhi, Apellicer, Ferzohaus</t>
        </is>
      </c>
      <c r="C5" s="30" t="inlineStr">
        <is>
          <t>Pagos y acuerdos</t>
        </is>
      </c>
      <c r="D5" s="30" t="inlineStr">
        <is>
          <t>Piedrahita cierre</t>
        </is>
      </c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>
        <is>
          <t>Luis/Ángel</t>
        </is>
      </c>
      <c r="M5" s="11" t="inlineStr">
        <is>
          <t>Acuerdos firmados</t>
        </is>
      </c>
      <c r="N5" s="11" t="inlineStr">
        <is>
          <t>Recibos/contratos</t>
        </is>
      </c>
      <c r="O5" s="11" t="inlineStr">
        <is>
          <t>Arrastre deuda</t>
        </is>
      </c>
      <c r="P5" s="11" t="inlineStr">
        <is>
          <t>Activo</t>
        </is>
      </c>
    </row>
    <row r="6">
      <c r="A6" s="12" t="inlineStr">
        <is>
          <t>Piedrahita</t>
        </is>
      </c>
      <c r="B6" s="30" t="inlineStr">
        <is>
          <t>Interiores/saneamientos</t>
        </is>
      </c>
      <c r="C6" s="30" t="inlineStr">
        <is>
          <t>Remates</t>
        </is>
      </c>
      <c r="D6" s="30" t="inlineStr">
        <is>
          <t>Entrega/caso</t>
        </is>
      </c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>
        <is>
          <t>Luis/Jorge</t>
        </is>
      </c>
      <c r="M6" s="12" t="inlineStr">
        <is>
          <t>Entrega mediados sep</t>
        </is>
      </c>
      <c r="N6" s="12" t="inlineStr">
        <is>
          <t>Fotos/ficha caso</t>
        </is>
      </c>
      <c r="O6" s="12" t="inlineStr">
        <is>
          <t>Retraso</t>
        </is>
      </c>
      <c r="P6" s="12" t="inlineStr">
        <is>
          <t>En marcha</t>
        </is>
      </c>
    </row>
    <row r="7">
      <c r="A7" s="11" t="inlineStr">
        <is>
          <t>Producto CUEVA OS</t>
        </is>
      </c>
      <c r="B7" s="30" t="inlineStr">
        <is>
          <t>Backlog release</t>
        </is>
      </c>
      <c r="C7" s="30" t="inlineStr">
        <is>
          <t>Infra/telecom</t>
        </is>
      </c>
      <c r="D7" s="30" t="inlineStr">
        <is>
          <t>Demo comercial</t>
        </is>
      </c>
      <c r="E7" s="30" t="inlineStr">
        <is>
          <t>QA</t>
        </is>
      </c>
      <c r="F7" s="30" t="inlineStr">
        <is>
          <t>Documentación</t>
        </is>
      </c>
      <c r="G7" s="30" t="inlineStr">
        <is>
          <t>Entrega estable</t>
        </is>
      </c>
      <c r="H7" s="31" t="inlineStr">
        <is>
          <t>Logistik setup</t>
        </is>
      </c>
      <c r="I7" s="31" t="inlineStr">
        <is>
          <t>KIWA prep</t>
        </is>
      </c>
      <c r="J7" s="31" t="inlineStr">
        <is>
          <t>SaaS recurrente</t>
        </is>
      </c>
      <c r="K7" s="31" t="inlineStr">
        <is>
          <t>Escalado</t>
        </is>
      </c>
      <c r="L7" s="11" t="inlineStr">
        <is>
          <t>Hernán/Santi</t>
        </is>
      </c>
      <c r="M7" s="11" t="inlineStr">
        <is>
          <t>Release estable</t>
        </is>
      </c>
      <c r="N7" s="11" t="inlineStr">
        <is>
          <t>Demo/QA logs</t>
        </is>
      </c>
      <c r="O7" s="11" t="inlineStr">
        <is>
          <t>Fragilidad técnica</t>
        </is>
      </c>
      <c r="P7" s="11" t="inlineStr">
        <is>
          <t>Activo</t>
        </is>
      </c>
    </row>
    <row r="8">
      <c r="A8" s="12" t="inlineStr">
        <is>
          <t>Marketing / comercial</t>
        </is>
      </c>
      <c r="B8" s="30" t="inlineStr">
        <is>
          <t>Plan</t>
        </is>
      </c>
      <c r="C8" s="30" t="inlineStr">
        <is>
          <t>Assets</t>
        </is>
      </c>
      <c r="D8" s="30" t="inlineStr">
        <is>
          <t>Salida mercado</t>
        </is>
      </c>
      <c r="E8" s="30" t="inlineStr">
        <is>
          <t>CRM</t>
        </is>
      </c>
      <c r="F8" s="30" t="inlineStr">
        <is>
          <t>Reuniones</t>
        </is>
      </c>
      <c r="G8" s="30" t="inlineStr">
        <is>
          <t>Oferta base</t>
        </is>
      </c>
      <c r="H8" s="31" t="inlineStr">
        <is>
          <t>Campañas</t>
        </is>
      </c>
      <c r="I8" s="31" t="inlineStr">
        <is>
          <t>Conversión</t>
        </is>
      </c>
      <c r="J8" s="31" t="inlineStr">
        <is>
          <t>Casos</t>
        </is>
      </c>
      <c r="K8" s="31" t="inlineStr">
        <is>
          <t>ARR/PR</t>
        </is>
      </c>
      <c r="L8" s="12" t="inlineStr">
        <is>
          <t>Jacqueline/Emilio</t>
        </is>
      </c>
      <c r="M8" s="12" t="inlineStr">
        <is>
          <t>Web+CRM</t>
        </is>
      </c>
      <c r="N8" s="12" t="inlineStr">
        <is>
          <t>Web/CRM</t>
        </is>
      </c>
      <c r="O8" s="12" t="inlineStr">
        <is>
          <t>Poca conversión</t>
        </is>
      </c>
      <c r="P8" s="12" t="inlineStr">
        <is>
          <t>Pendiente</t>
        </is>
      </c>
    </row>
    <row r="9">
      <c r="A9" s="11" t="inlineStr">
        <is>
          <t>Hub OADAC Menorca</t>
        </is>
      </c>
      <c r="B9" s="30" t="inlineStr">
        <is>
          <t>Marco Valeriano</t>
        </is>
      </c>
      <c r="C9" s="30" t="inlineStr">
        <is>
          <t>Layout</t>
        </is>
      </c>
      <c r="D9" s="30" t="inlineStr">
        <is>
          <t>Fase 0-1</t>
        </is>
      </c>
      <c r="E9" s="30" t="inlineStr">
        <is>
          <t>Showroom mínimo</t>
        </is>
      </c>
      <c r="F9" s="30" t="inlineStr">
        <is>
          <t>Pipeline</t>
        </is>
      </c>
      <c r="G9" s="30" t="inlineStr">
        <is>
          <t>Plan 2027</t>
        </is>
      </c>
      <c r="H9" s="31" t="inlineStr">
        <is>
          <t>Llar de Mar 2</t>
        </is>
      </c>
      <c r="I9" s="31" t="inlineStr">
        <is>
          <t>Nodo operativo</t>
        </is>
      </c>
      <c r="J9" s="31" t="inlineStr">
        <is>
          <t>Visitas/clientes</t>
        </is>
      </c>
      <c r="K9" s="31" t="inlineStr">
        <is>
          <t>Optimización</t>
        </is>
      </c>
      <c r="L9" s="11" t="inlineStr">
        <is>
          <t>Luis/Medhi</t>
        </is>
      </c>
      <c r="M9" s="11" t="inlineStr">
        <is>
          <t>Contrato hub</t>
        </is>
      </c>
      <c r="N9" s="11" t="inlineStr">
        <is>
          <t>Fotos/acuerdo</t>
        </is>
      </c>
      <c r="O9" s="11" t="inlineStr">
        <is>
          <t>Sobrecoste</t>
        </is>
      </c>
      <c r="P9" s="11" t="inlineStr">
        <is>
          <t>Activo</t>
        </is>
      </c>
    </row>
    <row r="10">
      <c r="A10" s="12" t="inlineStr">
        <is>
          <t>Llar de Mar 2</t>
        </is>
      </c>
      <c r="B10" s="12" t="inlineStr"/>
      <c r="C10" s="12" t="inlineStr"/>
      <c r="D10" s="12" t="inlineStr"/>
      <c r="E10" s="30" t="inlineStr">
        <is>
          <t>Preparación</t>
        </is>
      </c>
      <c r="F10" s="30" t="inlineStr">
        <is>
          <t>Presupuesto</t>
        </is>
      </c>
      <c r="G10" s="30" t="inlineStr">
        <is>
          <t>Contrato/anticipo</t>
        </is>
      </c>
      <c r="H10" s="31" t="inlineStr">
        <is>
          <t>Ejecución/cobro</t>
        </is>
      </c>
      <c r="I10" s="31" t="inlineStr">
        <is>
          <t>Cierre caso</t>
        </is>
      </c>
      <c r="J10" s="12" t="inlineStr"/>
      <c r="K10" s="12" t="inlineStr"/>
      <c r="L10" s="12" t="inlineStr">
        <is>
          <t>Luis/Ángel</t>
        </is>
      </c>
      <c r="M10" s="12" t="inlineStr">
        <is>
          <t>Contrato</t>
        </is>
      </c>
      <c r="N10" s="12" t="inlineStr">
        <is>
          <t>Factura/caso</t>
        </is>
      </c>
      <c r="O10" s="12" t="inlineStr">
        <is>
          <t>Margen obra</t>
        </is>
      </c>
      <c r="P10" s="12" t="inlineStr">
        <is>
          <t>Objetivo</t>
        </is>
      </c>
    </row>
    <row r="11">
      <c r="A11" s="11" t="inlineStr">
        <is>
          <t>Logistik</t>
        </is>
      </c>
      <c r="B11" s="11" t="inlineStr"/>
      <c r="C11" s="11" t="inlineStr"/>
      <c r="D11" s="11" t="inlineStr"/>
      <c r="E11" s="30" t="inlineStr">
        <is>
          <t>Oferta separada</t>
        </is>
      </c>
      <c r="F11" s="30" t="inlineStr">
        <is>
          <t>Demo</t>
        </is>
      </c>
      <c r="G11" s="30" t="inlineStr">
        <is>
          <t>LOI cliente</t>
        </is>
      </c>
      <c r="H11" s="31" t="inlineStr">
        <is>
          <t>Contrato</t>
        </is>
      </c>
      <c r="I11" s="31" t="inlineStr">
        <is>
          <t>Implementación</t>
        </is>
      </c>
      <c r="J11" s="31" t="inlineStr">
        <is>
          <t>Despliegue</t>
        </is>
      </c>
      <c r="K11" s="31" t="inlineStr">
        <is>
          <t>Cierre 2027</t>
        </is>
      </c>
      <c r="L11" s="11" t="inlineStr">
        <is>
          <t>Luis/Ángel</t>
        </is>
      </c>
      <c r="M11" s="11" t="inlineStr">
        <is>
          <t>Cliente antes socio</t>
        </is>
      </c>
      <c r="N11" s="11" t="inlineStr">
        <is>
          <t>Contrato</t>
        </is>
      </c>
      <c r="O11" s="11" t="inlineStr">
        <is>
          <t>Bloqueo societario</t>
        </is>
      </c>
      <c r="P11" s="11" t="inlineStr">
        <is>
          <t>Objetivo</t>
        </is>
      </c>
    </row>
    <row r="12">
      <c r="A12" s="12" t="inlineStr">
        <is>
          <t>KIWA/RMOOB</t>
        </is>
      </c>
      <c r="B12" s="12" t="inlineStr"/>
      <c r="C12" s="12" t="inlineStr"/>
      <c r="D12" s="12" t="inlineStr"/>
      <c r="E12" s="30" t="inlineStr">
        <is>
          <t>Alcance</t>
        </is>
      </c>
      <c r="F12" s="30" t="inlineStr">
        <is>
          <t>LOI prep</t>
        </is>
      </c>
      <c r="G12" s="30" t="inlineStr">
        <is>
          <t>Plan técnico</t>
        </is>
      </c>
      <c r="H12" s="31" t="inlineStr">
        <is>
          <t>Contrato A</t>
        </is>
      </c>
      <c r="I12" s="31" t="inlineStr">
        <is>
          <t>Proyecto 450k</t>
        </is>
      </c>
      <c r="J12" s="31" t="inlineStr">
        <is>
          <t>B1 400k</t>
        </is>
      </c>
      <c r="K12" s="31" t="inlineStr">
        <is>
          <t>B2 400k</t>
        </is>
      </c>
      <c r="L12" s="12" t="inlineStr">
        <is>
          <t>Luis/Hernán</t>
        </is>
      </c>
      <c r="M12" s="12" t="inlineStr">
        <is>
          <t>LOI + contrato</t>
        </is>
      </c>
      <c r="N12" s="12" t="inlineStr">
        <is>
          <t>Contratos/cobros</t>
        </is>
      </c>
      <c r="O12" s="12" t="inlineStr">
        <is>
          <t>Dependencia externa</t>
        </is>
      </c>
      <c r="P12" s="12" t="inlineStr">
        <is>
          <t>Objetivo</t>
        </is>
      </c>
    </row>
    <row r="13">
      <c r="A13" s="11" t="inlineStr">
        <is>
          <t>Moolde/Marsam</t>
        </is>
      </c>
      <c r="B13" s="11" t="inlineStr"/>
      <c r="C13" s="11" t="inlineStr"/>
      <c r="D13" s="11" t="inlineStr"/>
      <c r="E13" s="30" t="inlineStr">
        <is>
          <t>Alcance</t>
        </is>
      </c>
      <c r="F13" s="30" t="inlineStr">
        <is>
          <t>Cofinanciación</t>
        </is>
      </c>
      <c r="G13" s="30" t="inlineStr">
        <is>
          <t>Prototipo plan</t>
        </is>
      </c>
      <c r="H13" s="31" t="inlineStr">
        <is>
          <t>Contrato piloto</t>
        </is>
      </c>
      <c r="I13" s="31" t="inlineStr">
        <is>
          <t>Ejecución</t>
        </is>
      </c>
      <c r="J13" s="31" t="inlineStr">
        <is>
          <t>Prototipos</t>
        </is>
      </c>
      <c r="K13" s="31" t="inlineStr">
        <is>
          <t>Ventas</t>
        </is>
      </c>
      <c r="L13" s="11" t="inlineStr">
        <is>
          <t>Luis/Emilio</t>
        </is>
      </c>
      <c r="M13" s="11" t="inlineStr">
        <is>
          <t>Pago previo</t>
        </is>
      </c>
      <c r="N13" s="11" t="inlineStr">
        <is>
          <t>Presupuesto</t>
        </is>
      </c>
      <c r="O13" s="11" t="inlineStr">
        <is>
          <t>Prototipo gratis</t>
        </is>
      </c>
      <c r="P13" s="11" t="inlineStr">
        <is>
          <t>Objetivo</t>
        </is>
      </c>
    </row>
  </sheetData>
  <mergeCells count="2">
    <mergeCell ref="A1:P1"/>
    <mergeCell ref="A2:P2"/>
  </mergeCells>
  <pageMargins left="0.25" right="0.25" top="0.5" bottom="0.5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38" customWidth="1" min="5" max="5"/>
    <col width="28" customWidth="1" min="6" max="6"/>
    <col width="16" customWidth="1" min="7" max="7"/>
    <col width="20" customWidth="1" min="8" max="8"/>
    <col width="24" customWidth="1" min="9" max="9"/>
    <col width="14" customWidth="1" min="10" max="10"/>
    <col width="28" customWidth="1" min="11" max="11"/>
    <col width="28" customWidth="1" min="12" max="12"/>
  </cols>
  <sheetData>
    <row r="1" ht="30" customHeight="1">
      <c r="A1" s="1" t="inlineStr">
        <is>
          <t>Riesgos, gates y checklist audit-ready</t>
        </is>
      </c>
    </row>
    <row r="2" ht="22" customHeight="1">
      <c r="A2" s="2" t="inlineStr">
        <is>
          <t>Gestión de riesgos por línea y decisión de continuidad por gates</t>
        </is>
      </c>
    </row>
    <row r="4" ht="24" customHeight="1">
      <c r="A4" s="10" t="inlineStr">
        <is>
          <t>Riesgo</t>
        </is>
      </c>
      <c r="B4" s="10" t="inlineStr">
        <is>
          <t>Probabilidad</t>
        </is>
      </c>
      <c r="C4" s="10" t="inlineStr">
        <is>
          <t>Impacto</t>
        </is>
      </c>
      <c r="D4" s="10" t="inlineStr">
        <is>
          <t>Severidad</t>
        </is>
      </c>
      <c r="E4" s="10" t="inlineStr">
        <is>
          <t>Mitigación</t>
        </is>
      </c>
      <c r="F4" s="10" t="inlineStr">
        <is>
          <t>Gate de control</t>
        </is>
      </c>
      <c r="G4" s="10" t="inlineStr">
        <is>
          <t>Fecha revisión</t>
        </is>
      </c>
      <c r="H4" s="10" t="inlineStr">
        <is>
          <t>Responsable</t>
        </is>
      </c>
      <c r="I4" s="10" t="inlineStr">
        <is>
          <t>Evidencia</t>
        </is>
      </c>
      <c r="J4" s="10" t="inlineStr">
        <is>
          <t>Estado</t>
        </is>
      </c>
      <c r="K4" s="10" t="inlineStr">
        <is>
          <t>Decisión si falla</t>
        </is>
      </c>
      <c r="L4" s="10" t="inlineStr">
        <is>
          <t>Notas</t>
        </is>
      </c>
    </row>
    <row r="5">
      <c r="A5" s="11" t="inlineStr">
        <is>
          <t>Capital 300k no se desembolsa completo</t>
        </is>
      </c>
      <c r="B5" s="11" t="inlineStr">
        <is>
          <t>Media</t>
        </is>
      </c>
      <c r="C5" s="11" t="inlineStr">
        <is>
          <t>Muy alto</t>
        </is>
      </c>
      <c r="D5" s="11" t="inlineStr">
        <is>
          <t>Alta</t>
        </is>
      </c>
      <c r="E5" s="11" t="inlineStr">
        <is>
          <t>Tramos vinculados a hitos y pagos críticos</t>
        </is>
      </c>
      <c r="F5" s="11" t="inlineStr">
        <is>
          <t>Aprobación plan de desembolso</t>
        </is>
      </c>
      <c r="G5" s="11" t="inlineStr">
        <is>
          <t>Jul-26</t>
        </is>
      </c>
      <c r="H5" s="11" t="inlineStr">
        <is>
          <t>Dirección</t>
        </is>
      </c>
      <c r="I5" s="11" t="inlineStr">
        <is>
          <t>Acuerdo financiación</t>
        </is>
      </c>
      <c r="J5" s="11" t="inlineStr">
        <is>
          <t>Pendiente</t>
        </is>
      </c>
      <c r="K5" s="11" t="inlineStr">
        <is>
          <t>Parar capex no crítico</t>
        </is>
      </c>
      <c r="L5" s="11" t="inlineStr"/>
    </row>
    <row r="6">
      <c r="A6" s="12" t="inlineStr">
        <is>
          <t>Deuda proveedores daña reputación</t>
        </is>
      </c>
      <c r="B6" s="12" t="inlineStr">
        <is>
          <t>Media</t>
        </is>
      </c>
      <c r="C6" s="12" t="inlineStr">
        <is>
          <t>Alto</t>
        </is>
      </c>
      <c r="D6" s="12" t="inlineStr">
        <is>
          <t>Alta</t>
        </is>
      </c>
      <c r="E6" s="12" t="inlineStr">
        <is>
          <t>Acuerdos escritos y pagos priorizados</t>
        </is>
      </c>
      <c r="F6" s="12" t="inlineStr">
        <is>
          <t>Cierre Medhi/Apellicer/Ferzohaus</t>
        </is>
      </c>
      <c r="G6" s="12" t="inlineStr">
        <is>
          <t>Ago-26</t>
        </is>
      </c>
      <c r="H6" s="12" t="inlineStr">
        <is>
          <t>Luis/Ángel</t>
        </is>
      </c>
      <c r="I6" s="12" t="inlineStr">
        <is>
          <t>Recibos/acuerdos</t>
        </is>
      </c>
      <c r="J6" s="12" t="inlineStr">
        <is>
          <t>Pendiente</t>
        </is>
      </c>
      <c r="K6" s="12" t="inlineStr">
        <is>
          <t>No lanzar comercial sin cierre</t>
        </is>
      </c>
      <c r="L6" s="12" t="inlineStr"/>
    </row>
    <row r="7">
      <c r="A7" s="11" t="inlineStr">
        <is>
          <t>Piedrahita se retrasa</t>
        </is>
      </c>
      <c r="B7" s="11" t="inlineStr">
        <is>
          <t>Media</t>
        </is>
      </c>
      <c r="C7" s="11" t="inlineStr">
        <is>
          <t>Alto</t>
        </is>
      </c>
      <c r="D7" s="11" t="inlineStr">
        <is>
          <t>Alta</t>
        </is>
      </c>
      <c r="E7" s="11" t="inlineStr">
        <is>
          <t>Ring-fence cobros y remates</t>
        </is>
      </c>
      <c r="F7" s="11" t="inlineStr">
        <is>
          <t>Entrega mediados septiembre</t>
        </is>
      </c>
      <c r="G7" s="11" t="inlineStr">
        <is>
          <t>Sep-26</t>
        </is>
      </c>
      <c r="H7" s="11" t="inlineStr">
        <is>
          <t>Luis/Jorge</t>
        </is>
      </c>
      <c r="I7" s="11" t="inlineStr">
        <is>
          <t>Acta/fotos</t>
        </is>
      </c>
      <c r="J7" s="11" t="inlineStr">
        <is>
          <t>En marcha</t>
        </is>
      </c>
      <c r="K7" s="11" t="inlineStr">
        <is>
          <t>Refuerzo puntual obra</t>
        </is>
      </c>
      <c r="L7" s="11" t="inlineStr"/>
    </row>
    <row r="8">
      <c r="A8" s="12" t="inlineStr">
        <is>
          <t>Software no llega estable a salida comercial</t>
        </is>
      </c>
      <c r="B8" s="12" t="inlineStr">
        <is>
          <t>Media</t>
        </is>
      </c>
      <c r="C8" s="12" t="inlineStr">
        <is>
          <t>Muy alto</t>
        </is>
      </c>
      <c r="D8" s="12" t="inlineStr">
        <is>
          <t>Alta</t>
        </is>
      </c>
      <c r="E8" s="12" t="inlineStr">
        <is>
          <t>Partida SW/IT reforzada y releases mensuales</t>
        </is>
      </c>
      <c r="F8" s="12" t="inlineStr">
        <is>
          <t>Release septiembre</t>
        </is>
      </c>
      <c r="G8" s="12" t="inlineStr">
        <is>
          <t>Sep-26</t>
        </is>
      </c>
      <c r="H8" s="12" t="inlineStr">
        <is>
          <t>Hernán/Santi</t>
        </is>
      </c>
      <c r="I8" s="12" t="inlineStr">
        <is>
          <t>Demo/QA</t>
        </is>
      </c>
      <c r="J8" s="12" t="inlineStr">
        <is>
          <t>Activo</t>
        </is>
      </c>
      <c r="K8" s="12" t="inlineStr">
        <is>
          <t>Reducir alcance a MVP vendible</t>
        </is>
      </c>
      <c r="L8" s="12" t="inlineStr"/>
    </row>
    <row r="9">
      <c r="A9" s="11" t="inlineStr">
        <is>
          <t>Pipeline 2027 no se convierte</t>
        </is>
      </c>
      <c r="B9" s="11" t="inlineStr">
        <is>
          <t>Media</t>
        </is>
      </c>
      <c r="C9" s="11" t="inlineStr">
        <is>
          <t>Muy alto</t>
        </is>
      </c>
      <c r="D9" s="11" t="inlineStr">
        <is>
          <t>Alta</t>
        </is>
      </c>
      <c r="E9" s="11" t="inlineStr">
        <is>
          <t>Separar target/committed, LOI y CRM</t>
        </is>
      </c>
      <c r="F9" s="11" t="inlineStr">
        <is>
          <t>Contratos Q1-Q2</t>
        </is>
      </c>
      <c r="G9" s="11" t="inlineStr">
        <is>
          <t>Mar-27</t>
        </is>
      </c>
      <c r="H9" s="11" t="inlineStr">
        <is>
          <t>Dirección</t>
        </is>
      </c>
      <c r="I9" s="11" t="inlineStr">
        <is>
          <t>CRM/LOI</t>
        </is>
      </c>
      <c r="J9" s="11" t="inlineStr">
        <is>
          <t>Pendiente</t>
        </is>
      </c>
      <c r="K9" s="11" t="inlineStr">
        <is>
          <t>Reducir contratación 2027</t>
        </is>
      </c>
      <c r="L9" s="11" t="inlineStr"/>
    </row>
    <row r="10">
      <c r="A10" s="12" t="inlineStr">
        <is>
          <t>KIWA/RMOOB se retrasa</t>
        </is>
      </c>
      <c r="B10" s="12" t="inlineStr">
        <is>
          <t>Media</t>
        </is>
      </c>
      <c r="C10" s="12" t="inlineStr">
        <is>
          <t>Alto</t>
        </is>
      </c>
      <c r="D10" s="12" t="inlineStr">
        <is>
          <t>Media-alta</t>
        </is>
      </c>
      <c r="E10" s="12" t="inlineStr">
        <is>
          <t>Fasear 450k y 800k en subproyectos</t>
        </is>
      </c>
      <c r="F10" s="12" t="inlineStr">
        <is>
          <t>LOI y alcance técnico</t>
        </is>
      </c>
      <c r="G10" s="12" t="inlineStr">
        <is>
          <t>Q1-27</t>
        </is>
      </c>
      <c r="H10" s="12" t="inlineStr">
        <is>
          <t>Luis/Hernán</t>
        </is>
      </c>
      <c r="I10" s="12" t="inlineStr">
        <is>
          <t>LOI/contrato</t>
        </is>
      </c>
      <c r="J10" s="12" t="inlineStr">
        <is>
          <t>Pendiente</t>
        </is>
      </c>
      <c r="K10" s="12" t="inlineStr">
        <is>
          <t>No reconocer ingresos hasta firma</t>
        </is>
      </c>
      <c r="L10" s="12" t="inlineStr"/>
    </row>
    <row r="11">
      <c r="A11" s="11" t="inlineStr">
        <is>
          <t>Hub Menorca sobredimensiona capex</t>
        </is>
      </c>
      <c r="B11" s="11" t="inlineStr">
        <is>
          <t>Media</t>
        </is>
      </c>
      <c r="C11" s="11" t="inlineStr">
        <is>
          <t>Medio</t>
        </is>
      </c>
      <c r="D11" s="11" t="inlineStr">
        <is>
          <t>Media</t>
        </is>
      </c>
      <c r="E11" s="11" t="inlineStr">
        <is>
          <t>Fase 0-1, aprovechar in-kind Valeriano</t>
        </is>
      </c>
      <c r="F11" s="11" t="inlineStr">
        <is>
          <t>Gates por contrato</t>
        </is>
      </c>
      <c r="G11" s="11" t="inlineStr">
        <is>
          <t>Dic-26</t>
        </is>
      </c>
      <c r="H11" s="11" t="inlineStr">
        <is>
          <t>Luis</t>
        </is>
      </c>
      <c r="I11" s="11" t="inlineStr">
        <is>
          <t>Contrato hub</t>
        </is>
      </c>
      <c r="J11" s="11" t="inlineStr">
        <is>
          <t>Activo</t>
        </is>
      </c>
      <c r="K11" s="11" t="inlineStr">
        <is>
          <t>No liberar fase 2</t>
        </is>
      </c>
      <c r="L11" s="11" t="inlineStr"/>
    </row>
    <row r="12">
      <c r="A12" s="12" t="inlineStr">
        <is>
          <t>Valoración fin 2027 no soportada</t>
        </is>
      </c>
      <c r="B12" s="12" t="inlineStr">
        <is>
          <t>Media</t>
        </is>
      </c>
      <c r="C12" s="12" t="inlineStr">
        <is>
          <t>Alto</t>
        </is>
      </c>
      <c r="D12" s="12" t="inlineStr">
        <is>
          <t>Media-alta</t>
        </is>
      </c>
      <c r="E12" s="12" t="inlineStr">
        <is>
          <t>Vincular valor a KPIs, ingresos y activos evidenciables</t>
        </is>
      </c>
      <c r="F12" s="12" t="inlineStr">
        <is>
          <t>Informe valoración</t>
        </is>
      </c>
      <c r="G12" s="12" t="inlineStr">
        <is>
          <t>Dic-27</t>
        </is>
      </c>
      <c r="H12" s="12" t="inlineStr">
        <is>
          <t>Dirección</t>
        </is>
      </c>
      <c r="I12" s="12" t="inlineStr">
        <is>
          <t>Informe externo/interno</t>
        </is>
      </c>
      <c r="J12" s="12" t="inlineStr">
        <is>
          <t>Pendiente</t>
        </is>
      </c>
      <c r="K12" s="12" t="inlineStr">
        <is>
          <t>Usar rango bajo 8M</t>
        </is>
      </c>
      <c r="L12" s="12" t="inlineStr"/>
    </row>
  </sheetData>
  <mergeCells count="2">
    <mergeCell ref="A2:L2"/>
    <mergeCell ref="A1:L1"/>
  </mergeCells>
  <pageMargins left="0.25" right="0.25" top="0.5" bottom="0.5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Dashboard ejecutivo</t>
        </is>
      </c>
    </row>
    <row r="2" ht="22" customHeight="1">
      <c r="A2" s="2" t="inlineStr">
        <is>
          <t>Resumen de KPIs, caja, ingresos, valor y gates del BP 300k</t>
        </is>
      </c>
    </row>
    <row r="4">
      <c r="A4" s="10" t="inlineStr">
        <is>
          <t>Capital mínimo necesario</t>
        </is>
      </c>
      <c r="B4" s="32" t="n"/>
      <c r="C4" s="32" t="n"/>
      <c r="D4" s="33" t="n"/>
      <c r="E4" s="10" t="inlineStr">
        <is>
          <t>Uso fondos control</t>
        </is>
      </c>
      <c r="F4" s="32" t="n"/>
      <c r="G4" s="32" t="n"/>
      <c r="H4" s="33" t="n"/>
      <c r="I4" s="10" t="inlineStr">
        <is>
          <t>Ingresos objetivo 2027</t>
        </is>
      </c>
      <c r="J4" s="32" t="n"/>
      <c r="K4" s="32" t="n"/>
      <c r="L4" s="33" t="n"/>
    </row>
    <row r="5">
      <c r="A5" s="25">
        <f>'03_Uso_Fondos_300K'!B13</f>
        <v/>
      </c>
      <c r="B5" s="34" t="n"/>
      <c r="C5" s="34" t="n"/>
      <c r="D5" s="35" t="n"/>
      <c r="E5" s="25">
        <f>'03_Uso_Fondos_300K'!B12</f>
        <v/>
      </c>
      <c r="F5" s="34" t="n"/>
      <c r="G5" s="34" t="n"/>
      <c r="H5" s="35" t="n"/>
      <c r="I5" s="25">
        <f>SUM('11_Ingresos_2026_2027'!J14:U14)</f>
        <v/>
      </c>
      <c r="J5" s="34" t="n"/>
      <c r="K5" s="34" t="n"/>
      <c r="L5" s="35" t="n"/>
    </row>
    <row r="6">
      <c r="A6" s="36" t="n"/>
      <c r="B6" s="37" t="n"/>
      <c r="C6" s="37" t="n"/>
      <c r="D6" s="38" t="n"/>
      <c r="E6" s="36" t="n"/>
      <c r="F6" s="37" t="n"/>
      <c r="G6" s="37" t="n"/>
      <c r="H6" s="38" t="n"/>
      <c r="I6" s="36" t="n"/>
      <c r="J6" s="37" t="n"/>
      <c r="K6" s="37" t="n"/>
      <c r="L6" s="38" t="n"/>
    </row>
    <row r="8">
      <c r="A8" s="5" t="inlineStr">
        <is>
          <t>EBITDA total modelo</t>
        </is>
      </c>
      <c r="B8" s="32" t="n"/>
      <c r="C8" s="32" t="n"/>
      <c r="D8" s="33" t="n"/>
      <c r="E8" s="5" t="inlineStr">
        <is>
          <t>Caja final dic-27</t>
        </is>
      </c>
      <c r="F8" s="32" t="n"/>
      <c r="G8" s="32" t="n"/>
      <c r="H8" s="33" t="n"/>
      <c r="I8" s="5" t="inlineStr">
        <is>
          <t>Valor objetivo fin 2027</t>
        </is>
      </c>
      <c r="J8" s="32" t="n"/>
      <c r="K8" s="32" t="n"/>
      <c r="L8" s="33" t="n"/>
    </row>
    <row r="9">
      <c r="A9" s="25">
        <f>'12_Cuenta_Resultados'!T14</f>
        <v/>
      </c>
      <c r="B9" s="34" t="n"/>
      <c r="C9" s="34" t="n"/>
      <c r="D9" s="35" t="n"/>
      <c r="E9" s="25">
        <f>'13_Caja_Mensual'!S10</f>
        <v/>
      </c>
      <c r="F9" s="34" t="n"/>
      <c r="G9" s="34" t="n"/>
      <c r="H9" s="35" t="n"/>
      <c r="I9" s="25">
        <f>'18_Valor_Empresa_2027'!C12</f>
        <v/>
      </c>
      <c r="J9" s="34" t="n"/>
      <c r="K9" s="34" t="n"/>
      <c r="L9" s="35" t="n"/>
    </row>
    <row r="10">
      <c r="A10" s="36" t="n"/>
      <c r="B10" s="37" t="n"/>
      <c r="C10" s="37" t="n"/>
      <c r="D10" s="38" t="n"/>
      <c r="E10" s="36" t="n"/>
      <c r="F10" s="37" t="n"/>
      <c r="G10" s="37" t="n"/>
      <c r="H10" s="38" t="n"/>
      <c r="I10" s="36" t="n"/>
      <c r="J10" s="37" t="n"/>
      <c r="K10" s="37" t="n"/>
      <c r="L10" s="38" t="n"/>
    </row>
    <row r="13">
      <c r="A13" s="9" t="inlineStr">
        <is>
          <t>Lectura ejecutiva</t>
        </is>
      </c>
    </row>
    <row r="14">
      <c r="A14" s="4" t="inlineStr">
        <is>
          <t>El BP concentra los 300k en estabilizar equipo, producto, telecomunicaciones, deuda crítica, salida comercial y hub Menorca. 2027 se sostiene por Llar de Mar 2 (535k), Logistik, KIWA/RMOOB 450k y el proyecto KIWA/RMOOB de 800k dividido en dos fases dentro del segundo semestre. La empresa objetivo debe entrar en autosostenibilidad por caja durante 2027, siempre condicionada a contratos, cobros por hitos y control de contratación.</t>
        </is>
      </c>
    </row>
    <row r="15"/>
    <row r="16"/>
    <row r="17"/>
  </sheetData>
  <mergeCells count="15">
    <mergeCell ref="I5:L6"/>
    <mergeCell ref="A2:L2"/>
    <mergeCell ref="A5:D6"/>
    <mergeCell ref="A8:D8"/>
    <mergeCell ref="A9:D10"/>
    <mergeCell ref="E8:H8"/>
    <mergeCell ref="E9:H10"/>
    <mergeCell ref="I8:L8"/>
    <mergeCell ref="I9:L10"/>
    <mergeCell ref="A4:D4"/>
    <mergeCell ref="A14:L17"/>
    <mergeCell ref="E4:H4"/>
    <mergeCell ref="A1:L1"/>
    <mergeCell ref="I4:L4"/>
    <mergeCell ref="E5:H6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2026-07-10T07:30:39Z</dcterms:created>
  <dcterms:modified xmlns:dcterms="http://purl.org/dc/terms/" xmlns:xsi="http://www.w3.org/2001/XMLSchema-instance" xsi:type="dcterms:W3CDTF">2026-07-10T07:35:27Z</dcterms:modified>
</cp:coreProperties>
</file>